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cuments\retail-demand-digital-twin\excel\"/>
    </mc:Choice>
  </mc:AlternateContent>
  <xr:revisionPtr revIDLastSave="0" documentId="13_ncr:1_{A06D36A3-801F-4E2B-B3FE-B618E44E463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ADME" sheetId="1" r:id="rId1"/>
    <sheet name="Assumptions" sheetId="2" r:id="rId2"/>
    <sheet name="Data_inputs" sheetId="3" r:id="rId3"/>
    <sheet name="Finding" sheetId="4" r:id="rId4"/>
    <sheet name="Tornado" sheetId="5" r:id="rId5"/>
    <sheet name="TwoWay" sheetId="6" r:id="rId6"/>
    <sheet name="Checks" sheetId="7" r:id="rId7"/>
  </sheets>
  <definedNames>
    <definedName name="HoldRate_h">Assumptions!$B$6</definedName>
    <definedName name="K_factor">Assumptions!$B$14</definedName>
    <definedName name="LeadTime_L">Assumptions!$B$4</definedName>
    <definedName name="LossFn_Lz">Assumptions!$B$13</definedName>
    <definedName name="Margin_m">Assumptions!$B$7</definedName>
    <definedName name="OrderCost_K">Assumptions!$B$8</definedName>
    <definedName name="ReviewPeriod_R">Assumptions!$B$5</definedName>
    <definedName name="ServiceLevel">Assumptions!$B$10</definedName>
    <definedName name="ServiceZ">Assumptions!$B$11</definedName>
    <definedName name="UnitCost_c">Assumptions!$B$12</definedName>
    <definedName name="UnitPrice_p">Assumptions!$B$9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18" i="4" l="1"/>
  <c r="B1118" i="4"/>
  <c r="A1118" i="4"/>
  <c r="F1117" i="4"/>
  <c r="B1117" i="4"/>
  <c r="A1117" i="4"/>
  <c r="F1116" i="4"/>
  <c r="B1116" i="4"/>
  <c r="A1116" i="4"/>
  <c r="F1115" i="4"/>
  <c r="B1115" i="4"/>
  <c r="A1115" i="4"/>
  <c r="F1114" i="4"/>
  <c r="B1114" i="4"/>
  <c r="A1114" i="4"/>
  <c r="F1113" i="4"/>
  <c r="B1113" i="4"/>
  <c r="A1113" i="4"/>
  <c r="F1112" i="4"/>
  <c r="B1112" i="4"/>
  <c r="A1112" i="4"/>
  <c r="F1111" i="4"/>
  <c r="B1111" i="4"/>
  <c r="A1111" i="4"/>
  <c r="F1110" i="4"/>
  <c r="B1110" i="4"/>
  <c r="A1110" i="4"/>
  <c r="F1109" i="4"/>
  <c r="B1109" i="4"/>
  <c r="A1109" i="4"/>
  <c r="F1108" i="4"/>
  <c r="B1108" i="4"/>
  <c r="A1108" i="4"/>
  <c r="F1107" i="4"/>
  <c r="B1107" i="4"/>
  <c r="A1107" i="4"/>
  <c r="F1106" i="4"/>
  <c r="B1106" i="4"/>
  <c r="A1106" i="4"/>
  <c r="F1105" i="4"/>
  <c r="B1105" i="4"/>
  <c r="A1105" i="4"/>
  <c r="F1104" i="4"/>
  <c r="B1104" i="4"/>
  <c r="A1104" i="4"/>
  <c r="F1103" i="4"/>
  <c r="B1103" i="4"/>
  <c r="A1103" i="4"/>
  <c r="F1102" i="4"/>
  <c r="B1102" i="4"/>
  <c r="A1102" i="4"/>
  <c r="F1101" i="4"/>
  <c r="B1101" i="4"/>
  <c r="A1101" i="4"/>
  <c r="F1100" i="4"/>
  <c r="B1100" i="4"/>
  <c r="A1100" i="4"/>
  <c r="F1099" i="4"/>
  <c r="B1099" i="4"/>
  <c r="A1099" i="4"/>
  <c r="F1098" i="4"/>
  <c r="B1098" i="4"/>
  <c r="A1098" i="4"/>
  <c r="F1097" i="4"/>
  <c r="B1097" i="4"/>
  <c r="A1097" i="4"/>
  <c r="F1096" i="4"/>
  <c r="B1096" i="4"/>
  <c r="A1096" i="4"/>
  <c r="F1095" i="4"/>
  <c r="B1095" i="4"/>
  <c r="A1095" i="4"/>
  <c r="F1094" i="4"/>
  <c r="B1094" i="4"/>
  <c r="A1094" i="4"/>
  <c r="F1093" i="4"/>
  <c r="B1093" i="4"/>
  <c r="A1093" i="4"/>
  <c r="F1092" i="4"/>
  <c r="B1092" i="4"/>
  <c r="A1092" i="4"/>
  <c r="F1091" i="4"/>
  <c r="B1091" i="4"/>
  <c r="A1091" i="4"/>
  <c r="F1090" i="4"/>
  <c r="B1090" i="4"/>
  <c r="A1090" i="4"/>
  <c r="F1089" i="4"/>
  <c r="B1089" i="4"/>
  <c r="A1089" i="4"/>
  <c r="F1088" i="4"/>
  <c r="B1088" i="4"/>
  <c r="A1088" i="4"/>
  <c r="F1087" i="4"/>
  <c r="B1087" i="4"/>
  <c r="A1087" i="4"/>
  <c r="F1086" i="4"/>
  <c r="B1086" i="4"/>
  <c r="A1086" i="4"/>
  <c r="F1085" i="4"/>
  <c r="B1085" i="4"/>
  <c r="A1085" i="4"/>
  <c r="F1084" i="4"/>
  <c r="B1084" i="4"/>
  <c r="A1084" i="4"/>
  <c r="F1083" i="4"/>
  <c r="B1083" i="4"/>
  <c r="A1083" i="4"/>
  <c r="F1082" i="4"/>
  <c r="B1082" i="4"/>
  <c r="A1082" i="4"/>
  <c r="F1081" i="4"/>
  <c r="B1081" i="4"/>
  <c r="A1081" i="4"/>
  <c r="F1080" i="4"/>
  <c r="B1080" i="4"/>
  <c r="A1080" i="4"/>
  <c r="F1079" i="4"/>
  <c r="B1079" i="4"/>
  <c r="A1079" i="4"/>
  <c r="F1078" i="4"/>
  <c r="B1078" i="4"/>
  <c r="A1078" i="4"/>
  <c r="F1077" i="4"/>
  <c r="B1077" i="4"/>
  <c r="A1077" i="4"/>
  <c r="F1076" i="4"/>
  <c r="B1076" i="4"/>
  <c r="A1076" i="4"/>
  <c r="F1075" i="4"/>
  <c r="B1075" i="4"/>
  <c r="A1075" i="4"/>
  <c r="F1074" i="4"/>
  <c r="B1074" i="4"/>
  <c r="A1074" i="4"/>
  <c r="F1073" i="4"/>
  <c r="B1073" i="4"/>
  <c r="A1073" i="4"/>
  <c r="F1072" i="4"/>
  <c r="B1072" i="4"/>
  <c r="A1072" i="4"/>
  <c r="F1071" i="4"/>
  <c r="B1071" i="4"/>
  <c r="A1071" i="4"/>
  <c r="F1070" i="4"/>
  <c r="B1070" i="4"/>
  <c r="A1070" i="4"/>
  <c r="F1069" i="4"/>
  <c r="B1069" i="4"/>
  <c r="A1069" i="4"/>
  <c r="F1068" i="4"/>
  <c r="B1068" i="4"/>
  <c r="A1068" i="4"/>
  <c r="F1067" i="4"/>
  <c r="B1067" i="4"/>
  <c r="A1067" i="4"/>
  <c r="F1066" i="4"/>
  <c r="B1066" i="4"/>
  <c r="A1066" i="4"/>
  <c r="F1065" i="4"/>
  <c r="B1065" i="4"/>
  <c r="A1065" i="4"/>
  <c r="F1064" i="4"/>
  <c r="B1064" i="4"/>
  <c r="A1064" i="4"/>
  <c r="F1063" i="4"/>
  <c r="B1063" i="4"/>
  <c r="A1063" i="4"/>
  <c r="F1062" i="4"/>
  <c r="B1062" i="4"/>
  <c r="A1062" i="4"/>
  <c r="F1061" i="4"/>
  <c r="B1061" i="4"/>
  <c r="A1061" i="4"/>
  <c r="F1060" i="4"/>
  <c r="B1060" i="4"/>
  <c r="A1060" i="4"/>
  <c r="F1059" i="4"/>
  <c r="B1059" i="4"/>
  <c r="A1059" i="4"/>
  <c r="F1058" i="4"/>
  <c r="B1058" i="4"/>
  <c r="A1058" i="4"/>
  <c r="F1057" i="4"/>
  <c r="B1057" i="4"/>
  <c r="A1057" i="4"/>
  <c r="F1056" i="4"/>
  <c r="B1056" i="4"/>
  <c r="A1056" i="4"/>
  <c r="F1055" i="4"/>
  <c r="B1055" i="4"/>
  <c r="A1055" i="4"/>
  <c r="F1054" i="4"/>
  <c r="B1054" i="4"/>
  <c r="A1054" i="4"/>
  <c r="F1053" i="4"/>
  <c r="B1053" i="4"/>
  <c r="A1053" i="4"/>
  <c r="F1052" i="4"/>
  <c r="B1052" i="4"/>
  <c r="A1052" i="4"/>
  <c r="F1051" i="4"/>
  <c r="B1051" i="4"/>
  <c r="A1051" i="4"/>
  <c r="F1050" i="4"/>
  <c r="B1050" i="4"/>
  <c r="A1050" i="4"/>
  <c r="F1049" i="4"/>
  <c r="B1049" i="4"/>
  <c r="A1049" i="4"/>
  <c r="F1048" i="4"/>
  <c r="B1048" i="4"/>
  <c r="A1048" i="4"/>
  <c r="F1047" i="4"/>
  <c r="B1047" i="4"/>
  <c r="A1047" i="4"/>
  <c r="F1046" i="4"/>
  <c r="B1046" i="4"/>
  <c r="A1046" i="4"/>
  <c r="F1045" i="4"/>
  <c r="B1045" i="4"/>
  <c r="A1045" i="4"/>
  <c r="F1044" i="4"/>
  <c r="B1044" i="4"/>
  <c r="A1044" i="4"/>
  <c r="F1043" i="4"/>
  <c r="B1043" i="4"/>
  <c r="A1043" i="4"/>
  <c r="F1042" i="4"/>
  <c r="B1042" i="4"/>
  <c r="A1042" i="4"/>
  <c r="F1041" i="4"/>
  <c r="B1041" i="4"/>
  <c r="A1041" i="4"/>
  <c r="F1040" i="4"/>
  <c r="B1040" i="4"/>
  <c r="A1040" i="4"/>
  <c r="F1039" i="4"/>
  <c r="B1039" i="4"/>
  <c r="A1039" i="4"/>
  <c r="F1038" i="4"/>
  <c r="B1038" i="4"/>
  <c r="A1038" i="4"/>
  <c r="F1037" i="4"/>
  <c r="B1037" i="4"/>
  <c r="A1037" i="4"/>
  <c r="F1036" i="4"/>
  <c r="B1036" i="4"/>
  <c r="A1036" i="4"/>
  <c r="F1035" i="4"/>
  <c r="B1035" i="4"/>
  <c r="A1035" i="4"/>
  <c r="F1034" i="4"/>
  <c r="B1034" i="4"/>
  <c r="A1034" i="4"/>
  <c r="F1033" i="4"/>
  <c r="B1033" i="4"/>
  <c r="A1033" i="4"/>
  <c r="F1032" i="4"/>
  <c r="B1032" i="4"/>
  <c r="A1032" i="4"/>
  <c r="F1031" i="4"/>
  <c r="B1031" i="4"/>
  <c r="A1031" i="4"/>
  <c r="F1030" i="4"/>
  <c r="B1030" i="4"/>
  <c r="A1030" i="4"/>
  <c r="F1029" i="4"/>
  <c r="B1029" i="4"/>
  <c r="A1029" i="4"/>
  <c r="F1028" i="4"/>
  <c r="B1028" i="4"/>
  <c r="A1028" i="4"/>
  <c r="F1027" i="4"/>
  <c r="B1027" i="4"/>
  <c r="A1027" i="4"/>
  <c r="F1026" i="4"/>
  <c r="B1026" i="4"/>
  <c r="A1026" i="4"/>
  <c r="F1025" i="4"/>
  <c r="B1025" i="4"/>
  <c r="A1025" i="4"/>
  <c r="F1024" i="4"/>
  <c r="B1024" i="4"/>
  <c r="A1024" i="4"/>
  <c r="F1023" i="4"/>
  <c r="B1023" i="4"/>
  <c r="A1023" i="4"/>
  <c r="F1022" i="4"/>
  <c r="B1022" i="4"/>
  <c r="A1022" i="4"/>
  <c r="F1021" i="4"/>
  <c r="B1021" i="4"/>
  <c r="A1021" i="4"/>
  <c r="F1020" i="4"/>
  <c r="B1020" i="4"/>
  <c r="A1020" i="4"/>
  <c r="F1019" i="4"/>
  <c r="B1019" i="4"/>
  <c r="A1019" i="4"/>
  <c r="F1018" i="4"/>
  <c r="B1018" i="4"/>
  <c r="A1018" i="4"/>
  <c r="F1017" i="4"/>
  <c r="B1017" i="4"/>
  <c r="A1017" i="4"/>
  <c r="F1016" i="4"/>
  <c r="B1016" i="4"/>
  <c r="A1016" i="4"/>
  <c r="F1015" i="4"/>
  <c r="B1015" i="4"/>
  <c r="A1015" i="4"/>
  <c r="F1014" i="4"/>
  <c r="B1014" i="4"/>
  <c r="A1014" i="4"/>
  <c r="F1013" i="4"/>
  <c r="B1013" i="4"/>
  <c r="A1013" i="4"/>
  <c r="F1012" i="4"/>
  <c r="B1012" i="4"/>
  <c r="A1012" i="4"/>
  <c r="F1011" i="4"/>
  <c r="B1011" i="4"/>
  <c r="A1011" i="4"/>
  <c r="F1010" i="4"/>
  <c r="B1010" i="4"/>
  <c r="A1010" i="4"/>
  <c r="F1009" i="4"/>
  <c r="B1009" i="4"/>
  <c r="A1009" i="4"/>
  <c r="F1008" i="4"/>
  <c r="B1008" i="4"/>
  <c r="A1008" i="4"/>
  <c r="F1007" i="4"/>
  <c r="B1007" i="4"/>
  <c r="A1007" i="4"/>
  <c r="F1006" i="4"/>
  <c r="B1006" i="4"/>
  <c r="A1006" i="4"/>
  <c r="F1005" i="4"/>
  <c r="B1005" i="4"/>
  <c r="A1005" i="4"/>
  <c r="F1004" i="4"/>
  <c r="B1004" i="4"/>
  <c r="A1004" i="4"/>
  <c r="F1003" i="4"/>
  <c r="B1003" i="4"/>
  <c r="A1003" i="4"/>
  <c r="F1002" i="4"/>
  <c r="B1002" i="4"/>
  <c r="A1002" i="4"/>
  <c r="F1001" i="4"/>
  <c r="B1001" i="4"/>
  <c r="A1001" i="4"/>
  <c r="F1000" i="4"/>
  <c r="B1000" i="4"/>
  <c r="A1000" i="4"/>
  <c r="F999" i="4"/>
  <c r="B999" i="4"/>
  <c r="A999" i="4"/>
  <c r="F998" i="4"/>
  <c r="B998" i="4"/>
  <c r="A998" i="4"/>
  <c r="F997" i="4"/>
  <c r="B997" i="4"/>
  <c r="A997" i="4"/>
  <c r="F996" i="4"/>
  <c r="B996" i="4"/>
  <c r="A996" i="4"/>
  <c r="F995" i="4"/>
  <c r="B995" i="4"/>
  <c r="A995" i="4"/>
  <c r="F994" i="4"/>
  <c r="B994" i="4"/>
  <c r="A994" i="4"/>
  <c r="F993" i="4"/>
  <c r="B993" i="4"/>
  <c r="A993" i="4"/>
  <c r="F992" i="4"/>
  <c r="B992" i="4"/>
  <c r="A992" i="4"/>
  <c r="F991" i="4"/>
  <c r="B991" i="4"/>
  <c r="A991" i="4"/>
  <c r="F990" i="4"/>
  <c r="B990" i="4"/>
  <c r="A990" i="4"/>
  <c r="F989" i="4"/>
  <c r="B989" i="4"/>
  <c r="A989" i="4"/>
  <c r="F988" i="4"/>
  <c r="B988" i="4"/>
  <c r="A988" i="4"/>
  <c r="F987" i="4"/>
  <c r="B987" i="4"/>
  <c r="A987" i="4"/>
  <c r="F986" i="4"/>
  <c r="B986" i="4"/>
  <c r="A986" i="4"/>
  <c r="F985" i="4"/>
  <c r="B985" i="4"/>
  <c r="A985" i="4"/>
  <c r="F984" i="4"/>
  <c r="B984" i="4"/>
  <c r="A984" i="4"/>
  <c r="F983" i="4"/>
  <c r="B983" i="4"/>
  <c r="A983" i="4"/>
  <c r="F982" i="4"/>
  <c r="B982" i="4"/>
  <c r="A982" i="4"/>
  <c r="F981" i="4"/>
  <c r="B981" i="4"/>
  <c r="A981" i="4"/>
  <c r="F980" i="4"/>
  <c r="B980" i="4"/>
  <c r="A980" i="4"/>
  <c r="F979" i="4"/>
  <c r="B979" i="4"/>
  <c r="A979" i="4"/>
  <c r="F978" i="4"/>
  <c r="B978" i="4"/>
  <c r="A978" i="4"/>
  <c r="F977" i="4"/>
  <c r="B977" i="4"/>
  <c r="A977" i="4"/>
  <c r="F976" i="4"/>
  <c r="B976" i="4"/>
  <c r="A976" i="4"/>
  <c r="F975" i="4"/>
  <c r="B975" i="4"/>
  <c r="A975" i="4"/>
  <c r="F974" i="4"/>
  <c r="B974" i="4"/>
  <c r="A974" i="4"/>
  <c r="F973" i="4"/>
  <c r="B973" i="4"/>
  <c r="A973" i="4"/>
  <c r="F972" i="4"/>
  <c r="B972" i="4"/>
  <c r="A972" i="4"/>
  <c r="F971" i="4"/>
  <c r="B971" i="4"/>
  <c r="A971" i="4"/>
  <c r="F970" i="4"/>
  <c r="B970" i="4"/>
  <c r="A970" i="4"/>
  <c r="F969" i="4"/>
  <c r="B969" i="4"/>
  <c r="A969" i="4"/>
  <c r="F968" i="4"/>
  <c r="B968" i="4"/>
  <c r="A968" i="4"/>
  <c r="F967" i="4"/>
  <c r="B967" i="4"/>
  <c r="A967" i="4"/>
  <c r="F966" i="4"/>
  <c r="B966" i="4"/>
  <c r="A966" i="4"/>
  <c r="F965" i="4"/>
  <c r="B965" i="4"/>
  <c r="A965" i="4"/>
  <c r="F964" i="4"/>
  <c r="B964" i="4"/>
  <c r="A964" i="4"/>
  <c r="F963" i="4"/>
  <c r="B963" i="4"/>
  <c r="A963" i="4"/>
  <c r="F962" i="4"/>
  <c r="B962" i="4"/>
  <c r="A962" i="4"/>
  <c r="F961" i="4"/>
  <c r="B961" i="4"/>
  <c r="A961" i="4"/>
  <c r="F960" i="4"/>
  <c r="B960" i="4"/>
  <c r="A960" i="4"/>
  <c r="F959" i="4"/>
  <c r="B959" i="4"/>
  <c r="A959" i="4"/>
  <c r="F958" i="4"/>
  <c r="B958" i="4"/>
  <c r="A958" i="4"/>
  <c r="F957" i="4"/>
  <c r="B957" i="4"/>
  <c r="A957" i="4"/>
  <c r="F956" i="4"/>
  <c r="B956" i="4"/>
  <c r="A956" i="4"/>
  <c r="F955" i="4"/>
  <c r="B955" i="4"/>
  <c r="A955" i="4"/>
  <c r="F954" i="4"/>
  <c r="B954" i="4"/>
  <c r="A954" i="4"/>
  <c r="F953" i="4"/>
  <c r="B953" i="4"/>
  <c r="A953" i="4"/>
  <c r="F952" i="4"/>
  <c r="B952" i="4"/>
  <c r="A952" i="4"/>
  <c r="F951" i="4"/>
  <c r="B951" i="4"/>
  <c r="A951" i="4"/>
  <c r="F950" i="4"/>
  <c r="B950" i="4"/>
  <c r="A950" i="4"/>
  <c r="F949" i="4"/>
  <c r="B949" i="4"/>
  <c r="A949" i="4"/>
  <c r="F948" i="4"/>
  <c r="B948" i="4"/>
  <c r="A948" i="4"/>
  <c r="F947" i="4"/>
  <c r="B947" i="4"/>
  <c r="A947" i="4"/>
  <c r="F946" i="4"/>
  <c r="B946" i="4"/>
  <c r="A946" i="4"/>
  <c r="F945" i="4"/>
  <c r="B945" i="4"/>
  <c r="A945" i="4"/>
  <c r="F944" i="4"/>
  <c r="B944" i="4"/>
  <c r="A944" i="4"/>
  <c r="F943" i="4"/>
  <c r="B943" i="4"/>
  <c r="A943" i="4"/>
  <c r="F942" i="4"/>
  <c r="B942" i="4"/>
  <c r="A942" i="4"/>
  <c r="F941" i="4"/>
  <c r="B941" i="4"/>
  <c r="A941" i="4"/>
  <c r="F940" i="4"/>
  <c r="B940" i="4"/>
  <c r="A940" i="4"/>
  <c r="F939" i="4"/>
  <c r="B939" i="4"/>
  <c r="A939" i="4"/>
  <c r="F938" i="4"/>
  <c r="B938" i="4"/>
  <c r="A938" i="4"/>
  <c r="F937" i="4"/>
  <c r="B937" i="4"/>
  <c r="A937" i="4"/>
  <c r="F936" i="4"/>
  <c r="B936" i="4"/>
  <c r="A936" i="4"/>
  <c r="F935" i="4"/>
  <c r="B935" i="4"/>
  <c r="A935" i="4"/>
  <c r="F934" i="4"/>
  <c r="B934" i="4"/>
  <c r="A934" i="4"/>
  <c r="F933" i="4"/>
  <c r="B933" i="4"/>
  <c r="A933" i="4"/>
  <c r="F932" i="4"/>
  <c r="B932" i="4"/>
  <c r="A932" i="4"/>
  <c r="F931" i="4"/>
  <c r="B931" i="4"/>
  <c r="A931" i="4"/>
  <c r="F930" i="4"/>
  <c r="B930" i="4"/>
  <c r="A930" i="4"/>
  <c r="F929" i="4"/>
  <c r="B929" i="4"/>
  <c r="A929" i="4"/>
  <c r="F928" i="4"/>
  <c r="B928" i="4"/>
  <c r="A928" i="4"/>
  <c r="F927" i="4"/>
  <c r="B927" i="4"/>
  <c r="A927" i="4"/>
  <c r="F926" i="4"/>
  <c r="B926" i="4"/>
  <c r="A926" i="4"/>
  <c r="F925" i="4"/>
  <c r="B925" i="4"/>
  <c r="A925" i="4"/>
  <c r="F924" i="4"/>
  <c r="B924" i="4"/>
  <c r="A924" i="4"/>
  <c r="F923" i="4"/>
  <c r="B923" i="4"/>
  <c r="A923" i="4"/>
  <c r="F922" i="4"/>
  <c r="B922" i="4"/>
  <c r="A922" i="4"/>
  <c r="F921" i="4"/>
  <c r="B921" i="4"/>
  <c r="A921" i="4"/>
  <c r="F920" i="4"/>
  <c r="B920" i="4"/>
  <c r="A920" i="4"/>
  <c r="F919" i="4"/>
  <c r="B919" i="4"/>
  <c r="A919" i="4"/>
  <c r="F918" i="4"/>
  <c r="B918" i="4"/>
  <c r="A918" i="4"/>
  <c r="F917" i="4"/>
  <c r="B917" i="4"/>
  <c r="A917" i="4"/>
  <c r="F916" i="4"/>
  <c r="B916" i="4"/>
  <c r="A916" i="4"/>
  <c r="F915" i="4"/>
  <c r="B915" i="4"/>
  <c r="A915" i="4"/>
  <c r="F914" i="4"/>
  <c r="B914" i="4"/>
  <c r="A914" i="4"/>
  <c r="F913" i="4"/>
  <c r="B913" i="4"/>
  <c r="A913" i="4"/>
  <c r="F912" i="4"/>
  <c r="B912" i="4"/>
  <c r="A912" i="4"/>
  <c r="F911" i="4"/>
  <c r="B911" i="4"/>
  <c r="A911" i="4"/>
  <c r="F910" i="4"/>
  <c r="B910" i="4"/>
  <c r="A910" i="4"/>
  <c r="F909" i="4"/>
  <c r="B909" i="4"/>
  <c r="A909" i="4"/>
  <c r="F908" i="4"/>
  <c r="B908" i="4"/>
  <c r="A908" i="4"/>
  <c r="F907" i="4"/>
  <c r="B907" i="4"/>
  <c r="A907" i="4"/>
  <c r="F906" i="4"/>
  <c r="B906" i="4"/>
  <c r="A906" i="4"/>
  <c r="F905" i="4"/>
  <c r="B905" i="4"/>
  <c r="A905" i="4"/>
  <c r="F904" i="4"/>
  <c r="B904" i="4"/>
  <c r="A904" i="4"/>
  <c r="F903" i="4"/>
  <c r="B903" i="4"/>
  <c r="A903" i="4"/>
  <c r="F902" i="4"/>
  <c r="B902" i="4"/>
  <c r="A902" i="4"/>
  <c r="F901" i="4"/>
  <c r="B901" i="4"/>
  <c r="A901" i="4"/>
  <c r="F900" i="4"/>
  <c r="B900" i="4"/>
  <c r="A900" i="4"/>
  <c r="F899" i="4"/>
  <c r="B899" i="4"/>
  <c r="A899" i="4"/>
  <c r="F898" i="4"/>
  <c r="B898" i="4"/>
  <c r="A898" i="4"/>
  <c r="F897" i="4"/>
  <c r="B897" i="4"/>
  <c r="A897" i="4"/>
  <c r="F896" i="4"/>
  <c r="B896" i="4"/>
  <c r="A896" i="4"/>
  <c r="F895" i="4"/>
  <c r="B895" i="4"/>
  <c r="A895" i="4"/>
  <c r="F894" i="4"/>
  <c r="B894" i="4"/>
  <c r="A894" i="4"/>
  <c r="F893" i="4"/>
  <c r="B893" i="4"/>
  <c r="A893" i="4"/>
  <c r="F892" i="4"/>
  <c r="B892" i="4"/>
  <c r="A892" i="4"/>
  <c r="F891" i="4"/>
  <c r="B891" i="4"/>
  <c r="A891" i="4"/>
  <c r="F890" i="4"/>
  <c r="B890" i="4"/>
  <c r="A890" i="4"/>
  <c r="F889" i="4"/>
  <c r="B889" i="4"/>
  <c r="A889" i="4"/>
  <c r="F888" i="4"/>
  <c r="B888" i="4"/>
  <c r="A888" i="4"/>
  <c r="F887" i="4"/>
  <c r="B887" i="4"/>
  <c r="A887" i="4"/>
  <c r="F886" i="4"/>
  <c r="B886" i="4"/>
  <c r="A886" i="4"/>
  <c r="F885" i="4"/>
  <c r="B885" i="4"/>
  <c r="A885" i="4"/>
  <c r="F884" i="4"/>
  <c r="B884" i="4"/>
  <c r="A884" i="4"/>
  <c r="F883" i="4"/>
  <c r="B883" i="4"/>
  <c r="A883" i="4"/>
  <c r="F882" i="4"/>
  <c r="B882" i="4"/>
  <c r="A882" i="4"/>
  <c r="F881" i="4"/>
  <c r="B881" i="4"/>
  <c r="A881" i="4"/>
  <c r="F880" i="4"/>
  <c r="B880" i="4"/>
  <c r="A880" i="4"/>
  <c r="F879" i="4"/>
  <c r="B879" i="4"/>
  <c r="A879" i="4"/>
  <c r="F878" i="4"/>
  <c r="B878" i="4"/>
  <c r="A878" i="4"/>
  <c r="F877" i="4"/>
  <c r="B877" i="4"/>
  <c r="A877" i="4"/>
  <c r="F876" i="4"/>
  <c r="B876" i="4"/>
  <c r="A876" i="4"/>
  <c r="F875" i="4"/>
  <c r="B875" i="4"/>
  <c r="A875" i="4"/>
  <c r="F874" i="4"/>
  <c r="B874" i="4"/>
  <c r="A874" i="4"/>
  <c r="F873" i="4"/>
  <c r="B873" i="4"/>
  <c r="A873" i="4"/>
  <c r="F872" i="4"/>
  <c r="B872" i="4"/>
  <c r="A872" i="4"/>
  <c r="F871" i="4"/>
  <c r="B871" i="4"/>
  <c r="A871" i="4"/>
  <c r="F870" i="4"/>
  <c r="B870" i="4"/>
  <c r="A870" i="4"/>
  <c r="F869" i="4"/>
  <c r="B869" i="4"/>
  <c r="A869" i="4"/>
  <c r="F868" i="4"/>
  <c r="B868" i="4"/>
  <c r="A868" i="4"/>
  <c r="F867" i="4"/>
  <c r="B867" i="4"/>
  <c r="A867" i="4"/>
  <c r="F866" i="4"/>
  <c r="B866" i="4"/>
  <c r="A866" i="4"/>
  <c r="F865" i="4"/>
  <c r="B865" i="4"/>
  <c r="A865" i="4"/>
  <c r="F864" i="4"/>
  <c r="B864" i="4"/>
  <c r="A864" i="4"/>
  <c r="F863" i="4"/>
  <c r="B863" i="4"/>
  <c r="A863" i="4"/>
  <c r="F862" i="4"/>
  <c r="B862" i="4"/>
  <c r="A862" i="4"/>
  <c r="F861" i="4"/>
  <c r="B861" i="4"/>
  <c r="A861" i="4"/>
  <c r="F860" i="4"/>
  <c r="B860" i="4"/>
  <c r="A860" i="4"/>
  <c r="F859" i="4"/>
  <c r="B859" i="4"/>
  <c r="A859" i="4"/>
  <c r="F858" i="4"/>
  <c r="B858" i="4"/>
  <c r="A858" i="4"/>
  <c r="F857" i="4"/>
  <c r="B857" i="4"/>
  <c r="A857" i="4"/>
  <c r="F856" i="4"/>
  <c r="B856" i="4"/>
  <c r="A856" i="4"/>
  <c r="F855" i="4"/>
  <c r="B855" i="4"/>
  <c r="A855" i="4"/>
  <c r="F854" i="4"/>
  <c r="B854" i="4"/>
  <c r="A854" i="4"/>
  <c r="F853" i="4"/>
  <c r="B853" i="4"/>
  <c r="A853" i="4"/>
  <c r="F852" i="4"/>
  <c r="B852" i="4"/>
  <c r="A852" i="4"/>
  <c r="F851" i="4"/>
  <c r="B851" i="4"/>
  <c r="A851" i="4"/>
  <c r="F850" i="4"/>
  <c r="B850" i="4"/>
  <c r="A850" i="4"/>
  <c r="F849" i="4"/>
  <c r="B849" i="4"/>
  <c r="A849" i="4"/>
  <c r="F848" i="4"/>
  <c r="B848" i="4"/>
  <c r="A848" i="4"/>
  <c r="F847" i="4"/>
  <c r="B847" i="4"/>
  <c r="A847" i="4"/>
  <c r="F846" i="4"/>
  <c r="B846" i="4"/>
  <c r="A846" i="4"/>
  <c r="F845" i="4"/>
  <c r="B845" i="4"/>
  <c r="A845" i="4"/>
  <c r="F844" i="4"/>
  <c r="B844" i="4"/>
  <c r="A844" i="4"/>
  <c r="F843" i="4"/>
  <c r="B843" i="4"/>
  <c r="A843" i="4"/>
  <c r="F842" i="4"/>
  <c r="B842" i="4"/>
  <c r="A842" i="4"/>
  <c r="F841" i="4"/>
  <c r="B841" i="4"/>
  <c r="A841" i="4"/>
  <c r="F840" i="4"/>
  <c r="B840" i="4"/>
  <c r="A840" i="4"/>
  <c r="F839" i="4"/>
  <c r="B839" i="4"/>
  <c r="A839" i="4"/>
  <c r="F838" i="4"/>
  <c r="B838" i="4"/>
  <c r="A838" i="4"/>
  <c r="F837" i="4"/>
  <c r="B837" i="4"/>
  <c r="A837" i="4"/>
  <c r="F836" i="4"/>
  <c r="B836" i="4"/>
  <c r="A836" i="4"/>
  <c r="F835" i="4"/>
  <c r="B835" i="4"/>
  <c r="A835" i="4"/>
  <c r="F834" i="4"/>
  <c r="B834" i="4"/>
  <c r="A834" i="4"/>
  <c r="F833" i="4"/>
  <c r="B833" i="4"/>
  <c r="A833" i="4"/>
  <c r="F832" i="4"/>
  <c r="B832" i="4"/>
  <c r="A832" i="4"/>
  <c r="F831" i="4"/>
  <c r="B831" i="4"/>
  <c r="A831" i="4"/>
  <c r="F830" i="4"/>
  <c r="B830" i="4"/>
  <c r="A830" i="4"/>
  <c r="F829" i="4"/>
  <c r="B829" i="4"/>
  <c r="A829" i="4"/>
  <c r="F828" i="4"/>
  <c r="B828" i="4"/>
  <c r="A828" i="4"/>
  <c r="F827" i="4"/>
  <c r="B827" i="4"/>
  <c r="A827" i="4"/>
  <c r="F826" i="4"/>
  <c r="B826" i="4"/>
  <c r="A826" i="4"/>
  <c r="F825" i="4"/>
  <c r="B825" i="4"/>
  <c r="A825" i="4"/>
  <c r="F824" i="4"/>
  <c r="B824" i="4"/>
  <c r="A824" i="4"/>
  <c r="F823" i="4"/>
  <c r="B823" i="4"/>
  <c r="A823" i="4"/>
  <c r="F822" i="4"/>
  <c r="B822" i="4"/>
  <c r="A822" i="4"/>
  <c r="F821" i="4"/>
  <c r="B821" i="4"/>
  <c r="A821" i="4"/>
  <c r="F820" i="4"/>
  <c r="B820" i="4"/>
  <c r="A820" i="4"/>
  <c r="F819" i="4"/>
  <c r="B819" i="4"/>
  <c r="A819" i="4"/>
  <c r="F818" i="4"/>
  <c r="B818" i="4"/>
  <c r="A818" i="4"/>
  <c r="F817" i="4"/>
  <c r="B817" i="4"/>
  <c r="A817" i="4"/>
  <c r="F816" i="4"/>
  <c r="B816" i="4"/>
  <c r="A816" i="4"/>
  <c r="F815" i="4"/>
  <c r="B815" i="4"/>
  <c r="A815" i="4"/>
  <c r="F814" i="4"/>
  <c r="B814" i="4"/>
  <c r="A814" i="4"/>
  <c r="F813" i="4"/>
  <c r="B813" i="4"/>
  <c r="A813" i="4"/>
  <c r="F812" i="4"/>
  <c r="B812" i="4"/>
  <c r="A812" i="4"/>
  <c r="F811" i="4"/>
  <c r="B811" i="4"/>
  <c r="A811" i="4"/>
  <c r="F810" i="4"/>
  <c r="B810" i="4"/>
  <c r="A810" i="4"/>
  <c r="F809" i="4"/>
  <c r="B809" i="4"/>
  <c r="A809" i="4"/>
  <c r="F808" i="4"/>
  <c r="B808" i="4"/>
  <c r="A808" i="4"/>
  <c r="F807" i="4"/>
  <c r="B807" i="4"/>
  <c r="A807" i="4"/>
  <c r="F806" i="4"/>
  <c r="B806" i="4"/>
  <c r="A806" i="4"/>
  <c r="F805" i="4"/>
  <c r="B805" i="4"/>
  <c r="A805" i="4"/>
  <c r="F804" i="4"/>
  <c r="B804" i="4"/>
  <c r="A804" i="4"/>
  <c r="F803" i="4"/>
  <c r="B803" i="4"/>
  <c r="A803" i="4"/>
  <c r="F802" i="4"/>
  <c r="B802" i="4"/>
  <c r="A802" i="4"/>
  <c r="F801" i="4"/>
  <c r="B801" i="4"/>
  <c r="A801" i="4"/>
  <c r="F800" i="4"/>
  <c r="B800" i="4"/>
  <c r="A800" i="4"/>
  <c r="F799" i="4"/>
  <c r="B799" i="4"/>
  <c r="A799" i="4"/>
  <c r="F798" i="4"/>
  <c r="B798" i="4"/>
  <c r="A798" i="4"/>
  <c r="F797" i="4"/>
  <c r="B797" i="4"/>
  <c r="A797" i="4"/>
  <c r="F796" i="4"/>
  <c r="B796" i="4"/>
  <c r="A796" i="4"/>
  <c r="F795" i="4"/>
  <c r="B795" i="4"/>
  <c r="A795" i="4"/>
  <c r="F794" i="4"/>
  <c r="B794" i="4"/>
  <c r="A794" i="4"/>
  <c r="F793" i="4"/>
  <c r="B793" i="4"/>
  <c r="A793" i="4"/>
  <c r="F792" i="4"/>
  <c r="B792" i="4"/>
  <c r="A792" i="4"/>
  <c r="F791" i="4"/>
  <c r="B791" i="4"/>
  <c r="A791" i="4"/>
  <c r="F790" i="4"/>
  <c r="B790" i="4"/>
  <c r="A790" i="4"/>
  <c r="F789" i="4"/>
  <c r="B789" i="4"/>
  <c r="A789" i="4"/>
  <c r="F788" i="4"/>
  <c r="B788" i="4"/>
  <c r="A788" i="4"/>
  <c r="F787" i="4"/>
  <c r="B787" i="4"/>
  <c r="A787" i="4"/>
  <c r="F786" i="4"/>
  <c r="B786" i="4"/>
  <c r="A786" i="4"/>
  <c r="F785" i="4"/>
  <c r="B785" i="4"/>
  <c r="A785" i="4"/>
  <c r="F784" i="4"/>
  <c r="B784" i="4"/>
  <c r="A784" i="4"/>
  <c r="F783" i="4"/>
  <c r="B783" i="4"/>
  <c r="A783" i="4"/>
  <c r="F782" i="4"/>
  <c r="B782" i="4"/>
  <c r="A782" i="4"/>
  <c r="F781" i="4"/>
  <c r="B781" i="4"/>
  <c r="A781" i="4"/>
  <c r="F780" i="4"/>
  <c r="B780" i="4"/>
  <c r="A780" i="4"/>
  <c r="F779" i="4"/>
  <c r="B779" i="4"/>
  <c r="A779" i="4"/>
  <c r="F778" i="4"/>
  <c r="B778" i="4"/>
  <c r="A778" i="4"/>
  <c r="F777" i="4"/>
  <c r="B777" i="4"/>
  <c r="A777" i="4"/>
  <c r="F776" i="4"/>
  <c r="B776" i="4"/>
  <c r="A776" i="4"/>
  <c r="F775" i="4"/>
  <c r="B775" i="4"/>
  <c r="A775" i="4"/>
  <c r="F774" i="4"/>
  <c r="B774" i="4"/>
  <c r="A774" i="4"/>
  <c r="F773" i="4"/>
  <c r="B773" i="4"/>
  <c r="A773" i="4"/>
  <c r="F772" i="4"/>
  <c r="B772" i="4"/>
  <c r="A772" i="4"/>
  <c r="F771" i="4"/>
  <c r="B771" i="4"/>
  <c r="A771" i="4"/>
  <c r="F770" i="4"/>
  <c r="B770" i="4"/>
  <c r="A770" i="4"/>
  <c r="F769" i="4"/>
  <c r="B769" i="4"/>
  <c r="A769" i="4"/>
  <c r="F768" i="4"/>
  <c r="B768" i="4"/>
  <c r="A768" i="4"/>
  <c r="F767" i="4"/>
  <c r="B767" i="4"/>
  <c r="A767" i="4"/>
  <c r="F766" i="4"/>
  <c r="B766" i="4"/>
  <c r="A766" i="4"/>
  <c r="F765" i="4"/>
  <c r="B765" i="4"/>
  <c r="A765" i="4"/>
  <c r="F764" i="4"/>
  <c r="B764" i="4"/>
  <c r="A764" i="4"/>
  <c r="F763" i="4"/>
  <c r="B763" i="4"/>
  <c r="A763" i="4"/>
  <c r="F762" i="4"/>
  <c r="B762" i="4"/>
  <c r="A762" i="4"/>
  <c r="F761" i="4"/>
  <c r="B761" i="4"/>
  <c r="A761" i="4"/>
  <c r="F760" i="4"/>
  <c r="B760" i="4"/>
  <c r="A760" i="4"/>
  <c r="F759" i="4"/>
  <c r="B759" i="4"/>
  <c r="A759" i="4"/>
  <c r="F758" i="4"/>
  <c r="B758" i="4"/>
  <c r="A758" i="4"/>
  <c r="F757" i="4"/>
  <c r="B757" i="4"/>
  <c r="A757" i="4"/>
  <c r="F756" i="4"/>
  <c r="B756" i="4"/>
  <c r="A756" i="4"/>
  <c r="F755" i="4"/>
  <c r="B755" i="4"/>
  <c r="A755" i="4"/>
  <c r="F754" i="4"/>
  <c r="B754" i="4"/>
  <c r="A754" i="4"/>
  <c r="F753" i="4"/>
  <c r="B753" i="4"/>
  <c r="A753" i="4"/>
  <c r="F752" i="4"/>
  <c r="B752" i="4"/>
  <c r="A752" i="4"/>
  <c r="F751" i="4"/>
  <c r="B751" i="4"/>
  <c r="A751" i="4"/>
  <c r="F750" i="4"/>
  <c r="B750" i="4"/>
  <c r="A750" i="4"/>
  <c r="F749" i="4"/>
  <c r="B749" i="4"/>
  <c r="A749" i="4"/>
  <c r="F748" i="4"/>
  <c r="B748" i="4"/>
  <c r="A748" i="4"/>
  <c r="F747" i="4"/>
  <c r="B747" i="4"/>
  <c r="A747" i="4"/>
  <c r="F746" i="4"/>
  <c r="B746" i="4"/>
  <c r="A746" i="4"/>
  <c r="F745" i="4"/>
  <c r="B745" i="4"/>
  <c r="A745" i="4"/>
  <c r="F744" i="4"/>
  <c r="B744" i="4"/>
  <c r="A744" i="4"/>
  <c r="F743" i="4"/>
  <c r="B743" i="4"/>
  <c r="A743" i="4"/>
  <c r="F742" i="4"/>
  <c r="B742" i="4"/>
  <c r="A742" i="4"/>
  <c r="F741" i="4"/>
  <c r="B741" i="4"/>
  <c r="A741" i="4"/>
  <c r="F740" i="4"/>
  <c r="B740" i="4"/>
  <c r="A740" i="4"/>
  <c r="F739" i="4"/>
  <c r="B739" i="4"/>
  <c r="A739" i="4"/>
  <c r="F738" i="4"/>
  <c r="B738" i="4"/>
  <c r="A738" i="4"/>
  <c r="F737" i="4"/>
  <c r="B737" i="4"/>
  <c r="A737" i="4"/>
  <c r="F736" i="4"/>
  <c r="B736" i="4"/>
  <c r="A736" i="4"/>
  <c r="F735" i="4"/>
  <c r="B735" i="4"/>
  <c r="A735" i="4"/>
  <c r="F734" i="4"/>
  <c r="B734" i="4"/>
  <c r="A734" i="4"/>
  <c r="F733" i="4"/>
  <c r="B733" i="4"/>
  <c r="A733" i="4"/>
  <c r="F732" i="4"/>
  <c r="B732" i="4"/>
  <c r="A732" i="4"/>
  <c r="F731" i="4"/>
  <c r="B731" i="4"/>
  <c r="A731" i="4"/>
  <c r="F730" i="4"/>
  <c r="B730" i="4"/>
  <c r="A730" i="4"/>
  <c r="F729" i="4"/>
  <c r="B729" i="4"/>
  <c r="A729" i="4"/>
  <c r="F728" i="4"/>
  <c r="B728" i="4"/>
  <c r="A728" i="4"/>
  <c r="F727" i="4"/>
  <c r="B727" i="4"/>
  <c r="A727" i="4"/>
  <c r="F726" i="4"/>
  <c r="B726" i="4"/>
  <c r="A726" i="4"/>
  <c r="F725" i="4"/>
  <c r="B725" i="4"/>
  <c r="A725" i="4"/>
  <c r="F724" i="4"/>
  <c r="B724" i="4"/>
  <c r="A724" i="4"/>
  <c r="F723" i="4"/>
  <c r="B723" i="4"/>
  <c r="A723" i="4"/>
  <c r="F722" i="4"/>
  <c r="B722" i="4"/>
  <c r="A722" i="4"/>
  <c r="F721" i="4"/>
  <c r="B721" i="4"/>
  <c r="A721" i="4"/>
  <c r="F720" i="4"/>
  <c r="B720" i="4"/>
  <c r="A720" i="4"/>
  <c r="F719" i="4"/>
  <c r="B719" i="4"/>
  <c r="A719" i="4"/>
  <c r="F718" i="4"/>
  <c r="B718" i="4"/>
  <c r="A718" i="4"/>
  <c r="F717" i="4"/>
  <c r="B717" i="4"/>
  <c r="A717" i="4"/>
  <c r="F716" i="4"/>
  <c r="B716" i="4"/>
  <c r="A716" i="4"/>
  <c r="F715" i="4"/>
  <c r="B715" i="4"/>
  <c r="A715" i="4"/>
  <c r="F714" i="4"/>
  <c r="B714" i="4"/>
  <c r="A714" i="4"/>
  <c r="F713" i="4"/>
  <c r="B713" i="4"/>
  <c r="A713" i="4"/>
  <c r="F712" i="4"/>
  <c r="B712" i="4"/>
  <c r="A712" i="4"/>
  <c r="F711" i="4"/>
  <c r="B711" i="4"/>
  <c r="A711" i="4"/>
  <c r="F710" i="4"/>
  <c r="B710" i="4"/>
  <c r="A710" i="4"/>
  <c r="F709" i="4"/>
  <c r="B709" i="4"/>
  <c r="A709" i="4"/>
  <c r="F708" i="4"/>
  <c r="B708" i="4"/>
  <c r="A708" i="4"/>
  <c r="F707" i="4"/>
  <c r="B707" i="4"/>
  <c r="A707" i="4"/>
  <c r="F706" i="4"/>
  <c r="B706" i="4"/>
  <c r="A706" i="4"/>
  <c r="F705" i="4"/>
  <c r="B705" i="4"/>
  <c r="A705" i="4"/>
  <c r="F704" i="4"/>
  <c r="B704" i="4"/>
  <c r="A704" i="4"/>
  <c r="F703" i="4"/>
  <c r="B703" i="4"/>
  <c r="A703" i="4"/>
  <c r="F702" i="4"/>
  <c r="B702" i="4"/>
  <c r="A702" i="4"/>
  <c r="F701" i="4"/>
  <c r="B701" i="4"/>
  <c r="A701" i="4"/>
  <c r="F700" i="4"/>
  <c r="B700" i="4"/>
  <c r="A700" i="4"/>
  <c r="F699" i="4"/>
  <c r="B699" i="4"/>
  <c r="A699" i="4"/>
  <c r="F698" i="4"/>
  <c r="B698" i="4"/>
  <c r="A698" i="4"/>
  <c r="F697" i="4"/>
  <c r="B697" i="4"/>
  <c r="A697" i="4"/>
  <c r="F696" i="4"/>
  <c r="B696" i="4"/>
  <c r="A696" i="4"/>
  <c r="F695" i="4"/>
  <c r="B695" i="4"/>
  <c r="A695" i="4"/>
  <c r="F694" i="4"/>
  <c r="B694" i="4"/>
  <c r="A694" i="4"/>
  <c r="F693" i="4"/>
  <c r="B693" i="4"/>
  <c r="A693" i="4"/>
  <c r="F692" i="4"/>
  <c r="B692" i="4"/>
  <c r="A692" i="4"/>
  <c r="F691" i="4"/>
  <c r="B691" i="4"/>
  <c r="A691" i="4"/>
  <c r="F690" i="4"/>
  <c r="B690" i="4"/>
  <c r="A690" i="4"/>
  <c r="F689" i="4"/>
  <c r="B689" i="4"/>
  <c r="A689" i="4"/>
  <c r="F688" i="4"/>
  <c r="B688" i="4"/>
  <c r="A688" i="4"/>
  <c r="F687" i="4"/>
  <c r="B687" i="4"/>
  <c r="A687" i="4"/>
  <c r="F686" i="4"/>
  <c r="B686" i="4"/>
  <c r="A686" i="4"/>
  <c r="F685" i="4"/>
  <c r="B685" i="4"/>
  <c r="A685" i="4"/>
  <c r="F684" i="4"/>
  <c r="B684" i="4"/>
  <c r="A684" i="4"/>
  <c r="F683" i="4"/>
  <c r="B683" i="4"/>
  <c r="A683" i="4"/>
  <c r="F682" i="4"/>
  <c r="B682" i="4"/>
  <c r="A682" i="4"/>
  <c r="F681" i="4"/>
  <c r="B681" i="4"/>
  <c r="A681" i="4"/>
  <c r="F680" i="4"/>
  <c r="B680" i="4"/>
  <c r="A680" i="4"/>
  <c r="F679" i="4"/>
  <c r="B679" i="4"/>
  <c r="A679" i="4"/>
  <c r="F678" i="4"/>
  <c r="B678" i="4"/>
  <c r="A678" i="4"/>
  <c r="F677" i="4"/>
  <c r="B677" i="4"/>
  <c r="A677" i="4"/>
  <c r="F676" i="4"/>
  <c r="B676" i="4"/>
  <c r="A676" i="4"/>
  <c r="F675" i="4"/>
  <c r="B675" i="4"/>
  <c r="A675" i="4"/>
  <c r="F674" i="4"/>
  <c r="B674" i="4"/>
  <c r="A674" i="4"/>
  <c r="F673" i="4"/>
  <c r="B673" i="4"/>
  <c r="A673" i="4"/>
  <c r="F672" i="4"/>
  <c r="B672" i="4"/>
  <c r="A672" i="4"/>
  <c r="F671" i="4"/>
  <c r="B671" i="4"/>
  <c r="A671" i="4"/>
  <c r="F670" i="4"/>
  <c r="B670" i="4"/>
  <c r="A670" i="4"/>
  <c r="F669" i="4"/>
  <c r="B669" i="4"/>
  <c r="A669" i="4"/>
  <c r="F668" i="4"/>
  <c r="B668" i="4"/>
  <c r="A668" i="4"/>
  <c r="F667" i="4"/>
  <c r="B667" i="4"/>
  <c r="A667" i="4"/>
  <c r="F666" i="4"/>
  <c r="B666" i="4"/>
  <c r="A666" i="4"/>
  <c r="F665" i="4"/>
  <c r="B665" i="4"/>
  <c r="A665" i="4"/>
  <c r="F664" i="4"/>
  <c r="B664" i="4"/>
  <c r="A664" i="4"/>
  <c r="F663" i="4"/>
  <c r="B663" i="4"/>
  <c r="A663" i="4"/>
  <c r="F662" i="4"/>
  <c r="B662" i="4"/>
  <c r="A662" i="4"/>
  <c r="F661" i="4"/>
  <c r="B661" i="4"/>
  <c r="A661" i="4"/>
  <c r="F660" i="4"/>
  <c r="B660" i="4"/>
  <c r="A660" i="4"/>
  <c r="F659" i="4"/>
  <c r="B659" i="4"/>
  <c r="A659" i="4"/>
  <c r="F658" i="4"/>
  <c r="B658" i="4"/>
  <c r="A658" i="4"/>
  <c r="F657" i="4"/>
  <c r="B657" i="4"/>
  <c r="A657" i="4"/>
  <c r="F656" i="4"/>
  <c r="B656" i="4"/>
  <c r="A656" i="4"/>
  <c r="F655" i="4"/>
  <c r="B655" i="4"/>
  <c r="A655" i="4"/>
  <c r="F654" i="4"/>
  <c r="B654" i="4"/>
  <c r="A654" i="4"/>
  <c r="F653" i="4"/>
  <c r="B653" i="4"/>
  <c r="A653" i="4"/>
  <c r="F652" i="4"/>
  <c r="B652" i="4"/>
  <c r="A652" i="4"/>
  <c r="F651" i="4"/>
  <c r="B651" i="4"/>
  <c r="A651" i="4"/>
  <c r="F650" i="4"/>
  <c r="B650" i="4"/>
  <c r="A650" i="4"/>
  <c r="F649" i="4"/>
  <c r="B649" i="4"/>
  <c r="A649" i="4"/>
  <c r="F648" i="4"/>
  <c r="B648" i="4"/>
  <c r="A648" i="4"/>
  <c r="F647" i="4"/>
  <c r="B647" i="4"/>
  <c r="A647" i="4"/>
  <c r="F646" i="4"/>
  <c r="B646" i="4"/>
  <c r="A646" i="4"/>
  <c r="F645" i="4"/>
  <c r="B645" i="4"/>
  <c r="A645" i="4"/>
  <c r="F644" i="4"/>
  <c r="B644" i="4"/>
  <c r="A644" i="4"/>
  <c r="F643" i="4"/>
  <c r="B643" i="4"/>
  <c r="A643" i="4"/>
  <c r="F642" i="4"/>
  <c r="B642" i="4"/>
  <c r="A642" i="4"/>
  <c r="F641" i="4"/>
  <c r="B641" i="4"/>
  <c r="A641" i="4"/>
  <c r="F640" i="4"/>
  <c r="B640" i="4"/>
  <c r="A640" i="4"/>
  <c r="F639" i="4"/>
  <c r="B639" i="4"/>
  <c r="A639" i="4"/>
  <c r="F638" i="4"/>
  <c r="B638" i="4"/>
  <c r="A638" i="4"/>
  <c r="F637" i="4"/>
  <c r="B637" i="4"/>
  <c r="A637" i="4"/>
  <c r="F636" i="4"/>
  <c r="B636" i="4"/>
  <c r="A636" i="4"/>
  <c r="F635" i="4"/>
  <c r="B635" i="4"/>
  <c r="A635" i="4"/>
  <c r="F634" i="4"/>
  <c r="B634" i="4"/>
  <c r="A634" i="4"/>
  <c r="F633" i="4"/>
  <c r="B633" i="4"/>
  <c r="A633" i="4"/>
  <c r="F632" i="4"/>
  <c r="B632" i="4"/>
  <c r="A632" i="4"/>
  <c r="F631" i="4"/>
  <c r="B631" i="4"/>
  <c r="A631" i="4"/>
  <c r="F630" i="4"/>
  <c r="B630" i="4"/>
  <c r="A630" i="4"/>
  <c r="F629" i="4"/>
  <c r="B629" i="4"/>
  <c r="A629" i="4"/>
  <c r="F628" i="4"/>
  <c r="B628" i="4"/>
  <c r="A628" i="4"/>
  <c r="F627" i="4"/>
  <c r="B627" i="4"/>
  <c r="A627" i="4"/>
  <c r="F626" i="4"/>
  <c r="B626" i="4"/>
  <c r="A626" i="4"/>
  <c r="F625" i="4"/>
  <c r="B625" i="4"/>
  <c r="A625" i="4"/>
  <c r="F624" i="4"/>
  <c r="B624" i="4"/>
  <c r="A624" i="4"/>
  <c r="F623" i="4"/>
  <c r="B623" i="4"/>
  <c r="A623" i="4"/>
  <c r="F622" i="4"/>
  <c r="B622" i="4"/>
  <c r="A622" i="4"/>
  <c r="F621" i="4"/>
  <c r="B621" i="4"/>
  <c r="A621" i="4"/>
  <c r="F620" i="4"/>
  <c r="B620" i="4"/>
  <c r="A620" i="4"/>
  <c r="F619" i="4"/>
  <c r="B619" i="4"/>
  <c r="A619" i="4"/>
  <c r="F618" i="4"/>
  <c r="B618" i="4"/>
  <c r="A618" i="4"/>
  <c r="F617" i="4"/>
  <c r="B617" i="4"/>
  <c r="A617" i="4"/>
  <c r="F616" i="4"/>
  <c r="B616" i="4"/>
  <c r="A616" i="4"/>
  <c r="F615" i="4"/>
  <c r="B615" i="4"/>
  <c r="A615" i="4"/>
  <c r="F614" i="4"/>
  <c r="B614" i="4"/>
  <c r="A614" i="4"/>
  <c r="F613" i="4"/>
  <c r="B613" i="4"/>
  <c r="A613" i="4"/>
  <c r="F612" i="4"/>
  <c r="B612" i="4"/>
  <c r="A612" i="4"/>
  <c r="F611" i="4"/>
  <c r="B611" i="4"/>
  <c r="A611" i="4"/>
  <c r="F610" i="4"/>
  <c r="B610" i="4"/>
  <c r="A610" i="4"/>
  <c r="F609" i="4"/>
  <c r="B609" i="4"/>
  <c r="A609" i="4"/>
  <c r="F608" i="4"/>
  <c r="B608" i="4"/>
  <c r="A608" i="4"/>
  <c r="F607" i="4"/>
  <c r="B607" i="4"/>
  <c r="A607" i="4"/>
  <c r="F606" i="4"/>
  <c r="B606" i="4"/>
  <c r="A606" i="4"/>
  <c r="F605" i="4"/>
  <c r="B605" i="4"/>
  <c r="A605" i="4"/>
  <c r="F604" i="4"/>
  <c r="B604" i="4"/>
  <c r="A604" i="4"/>
  <c r="F603" i="4"/>
  <c r="B603" i="4"/>
  <c r="A603" i="4"/>
  <c r="F602" i="4"/>
  <c r="B602" i="4"/>
  <c r="A602" i="4"/>
  <c r="F601" i="4"/>
  <c r="B601" i="4"/>
  <c r="A601" i="4"/>
  <c r="F600" i="4"/>
  <c r="B600" i="4"/>
  <c r="A600" i="4"/>
  <c r="F599" i="4"/>
  <c r="B599" i="4"/>
  <c r="A599" i="4"/>
  <c r="F598" i="4"/>
  <c r="B598" i="4"/>
  <c r="A598" i="4"/>
  <c r="F597" i="4"/>
  <c r="B597" i="4"/>
  <c r="A597" i="4"/>
  <c r="F596" i="4"/>
  <c r="B596" i="4"/>
  <c r="A596" i="4"/>
  <c r="F595" i="4"/>
  <c r="B595" i="4"/>
  <c r="A595" i="4"/>
  <c r="F594" i="4"/>
  <c r="B594" i="4"/>
  <c r="A594" i="4"/>
  <c r="F593" i="4"/>
  <c r="B593" i="4"/>
  <c r="A593" i="4"/>
  <c r="F592" i="4"/>
  <c r="B592" i="4"/>
  <c r="A592" i="4"/>
  <c r="F591" i="4"/>
  <c r="B591" i="4"/>
  <c r="A591" i="4"/>
  <c r="F590" i="4"/>
  <c r="B590" i="4"/>
  <c r="A590" i="4"/>
  <c r="F589" i="4"/>
  <c r="B589" i="4"/>
  <c r="A589" i="4"/>
  <c r="F588" i="4"/>
  <c r="B588" i="4"/>
  <c r="A588" i="4"/>
  <c r="F587" i="4"/>
  <c r="B587" i="4"/>
  <c r="A587" i="4"/>
  <c r="F586" i="4"/>
  <c r="B586" i="4"/>
  <c r="A586" i="4"/>
  <c r="F585" i="4"/>
  <c r="B585" i="4"/>
  <c r="A585" i="4"/>
  <c r="F584" i="4"/>
  <c r="B584" i="4"/>
  <c r="A584" i="4"/>
  <c r="F583" i="4"/>
  <c r="B583" i="4"/>
  <c r="A583" i="4"/>
  <c r="F582" i="4"/>
  <c r="B582" i="4"/>
  <c r="A582" i="4"/>
  <c r="F581" i="4"/>
  <c r="B581" i="4"/>
  <c r="A581" i="4"/>
  <c r="F580" i="4"/>
  <c r="B580" i="4"/>
  <c r="A580" i="4"/>
  <c r="F579" i="4"/>
  <c r="B579" i="4"/>
  <c r="A579" i="4"/>
  <c r="F578" i="4"/>
  <c r="B578" i="4"/>
  <c r="A578" i="4"/>
  <c r="F577" i="4"/>
  <c r="B577" i="4"/>
  <c r="A577" i="4"/>
  <c r="F576" i="4"/>
  <c r="B576" i="4"/>
  <c r="A576" i="4"/>
  <c r="F575" i="4"/>
  <c r="B575" i="4"/>
  <c r="A575" i="4"/>
  <c r="F574" i="4"/>
  <c r="B574" i="4"/>
  <c r="A574" i="4"/>
  <c r="F573" i="4"/>
  <c r="B573" i="4"/>
  <c r="A573" i="4"/>
  <c r="F572" i="4"/>
  <c r="B572" i="4"/>
  <c r="A572" i="4"/>
  <c r="F571" i="4"/>
  <c r="B571" i="4"/>
  <c r="A571" i="4"/>
  <c r="F570" i="4"/>
  <c r="B570" i="4"/>
  <c r="A570" i="4"/>
  <c r="F569" i="4"/>
  <c r="B569" i="4"/>
  <c r="A569" i="4"/>
  <c r="F568" i="4"/>
  <c r="B568" i="4"/>
  <c r="A568" i="4"/>
  <c r="F567" i="4"/>
  <c r="B567" i="4"/>
  <c r="A567" i="4"/>
  <c r="F566" i="4"/>
  <c r="B566" i="4"/>
  <c r="A566" i="4"/>
  <c r="F565" i="4"/>
  <c r="B565" i="4"/>
  <c r="A565" i="4"/>
  <c r="F564" i="4"/>
  <c r="B564" i="4"/>
  <c r="A564" i="4"/>
  <c r="F563" i="4"/>
  <c r="B563" i="4"/>
  <c r="A563" i="4"/>
  <c r="F562" i="4"/>
  <c r="B562" i="4"/>
  <c r="A562" i="4"/>
  <c r="F561" i="4"/>
  <c r="B561" i="4"/>
  <c r="A561" i="4"/>
  <c r="F560" i="4"/>
  <c r="B560" i="4"/>
  <c r="A560" i="4"/>
  <c r="F559" i="4"/>
  <c r="B559" i="4"/>
  <c r="A559" i="4"/>
  <c r="F558" i="4"/>
  <c r="B558" i="4"/>
  <c r="A558" i="4"/>
  <c r="F557" i="4"/>
  <c r="B557" i="4"/>
  <c r="A557" i="4"/>
  <c r="F556" i="4"/>
  <c r="B556" i="4"/>
  <c r="A556" i="4"/>
  <c r="F555" i="4"/>
  <c r="B555" i="4"/>
  <c r="A555" i="4"/>
  <c r="F554" i="4"/>
  <c r="B554" i="4"/>
  <c r="A554" i="4"/>
  <c r="F553" i="4"/>
  <c r="B553" i="4"/>
  <c r="A553" i="4"/>
  <c r="F552" i="4"/>
  <c r="B552" i="4"/>
  <c r="A552" i="4"/>
  <c r="F551" i="4"/>
  <c r="B551" i="4"/>
  <c r="A551" i="4"/>
  <c r="F550" i="4"/>
  <c r="B550" i="4"/>
  <c r="A550" i="4"/>
  <c r="F549" i="4"/>
  <c r="B549" i="4"/>
  <c r="A549" i="4"/>
  <c r="F548" i="4"/>
  <c r="B548" i="4"/>
  <c r="A548" i="4"/>
  <c r="F547" i="4"/>
  <c r="B547" i="4"/>
  <c r="A547" i="4"/>
  <c r="F546" i="4"/>
  <c r="B546" i="4"/>
  <c r="A546" i="4"/>
  <c r="F545" i="4"/>
  <c r="B545" i="4"/>
  <c r="A545" i="4"/>
  <c r="F544" i="4"/>
  <c r="B544" i="4"/>
  <c r="A544" i="4"/>
  <c r="F543" i="4"/>
  <c r="B543" i="4"/>
  <c r="A543" i="4"/>
  <c r="F542" i="4"/>
  <c r="B542" i="4"/>
  <c r="A542" i="4"/>
  <c r="F541" i="4"/>
  <c r="B541" i="4"/>
  <c r="A541" i="4"/>
  <c r="F540" i="4"/>
  <c r="B540" i="4"/>
  <c r="A540" i="4"/>
  <c r="F539" i="4"/>
  <c r="B539" i="4"/>
  <c r="A539" i="4"/>
  <c r="F538" i="4"/>
  <c r="B538" i="4"/>
  <c r="A538" i="4"/>
  <c r="F537" i="4"/>
  <c r="B537" i="4"/>
  <c r="A537" i="4"/>
  <c r="F536" i="4"/>
  <c r="B536" i="4"/>
  <c r="A536" i="4"/>
  <c r="F535" i="4"/>
  <c r="B535" i="4"/>
  <c r="A535" i="4"/>
  <c r="F534" i="4"/>
  <c r="B534" i="4"/>
  <c r="A534" i="4"/>
  <c r="F533" i="4"/>
  <c r="B533" i="4"/>
  <c r="A533" i="4"/>
  <c r="F532" i="4"/>
  <c r="B532" i="4"/>
  <c r="A532" i="4"/>
  <c r="F531" i="4"/>
  <c r="B531" i="4"/>
  <c r="A531" i="4"/>
  <c r="F530" i="4"/>
  <c r="B530" i="4"/>
  <c r="A530" i="4"/>
  <c r="F529" i="4"/>
  <c r="B529" i="4"/>
  <c r="A529" i="4"/>
  <c r="F528" i="4"/>
  <c r="B528" i="4"/>
  <c r="A528" i="4"/>
  <c r="F527" i="4"/>
  <c r="B527" i="4"/>
  <c r="A527" i="4"/>
  <c r="F526" i="4"/>
  <c r="B526" i="4"/>
  <c r="A526" i="4"/>
  <c r="F525" i="4"/>
  <c r="B525" i="4"/>
  <c r="A525" i="4"/>
  <c r="F524" i="4"/>
  <c r="B524" i="4"/>
  <c r="A524" i="4"/>
  <c r="F523" i="4"/>
  <c r="B523" i="4"/>
  <c r="A523" i="4"/>
  <c r="F522" i="4"/>
  <c r="B522" i="4"/>
  <c r="A522" i="4"/>
  <c r="F521" i="4"/>
  <c r="B521" i="4"/>
  <c r="A521" i="4"/>
  <c r="F520" i="4"/>
  <c r="B520" i="4"/>
  <c r="A520" i="4"/>
  <c r="F519" i="4"/>
  <c r="B519" i="4"/>
  <c r="A519" i="4"/>
  <c r="F518" i="4"/>
  <c r="B518" i="4"/>
  <c r="A518" i="4"/>
  <c r="F517" i="4"/>
  <c r="B517" i="4"/>
  <c r="A517" i="4"/>
  <c r="F516" i="4"/>
  <c r="B516" i="4"/>
  <c r="A516" i="4"/>
  <c r="F515" i="4"/>
  <c r="B515" i="4"/>
  <c r="A515" i="4"/>
  <c r="F514" i="4"/>
  <c r="B514" i="4"/>
  <c r="A514" i="4"/>
  <c r="F513" i="4"/>
  <c r="B513" i="4"/>
  <c r="A513" i="4"/>
  <c r="F512" i="4"/>
  <c r="B512" i="4"/>
  <c r="A512" i="4"/>
  <c r="F511" i="4"/>
  <c r="B511" i="4"/>
  <c r="A511" i="4"/>
  <c r="F510" i="4"/>
  <c r="B510" i="4"/>
  <c r="A510" i="4"/>
  <c r="F509" i="4"/>
  <c r="B509" i="4"/>
  <c r="A509" i="4"/>
  <c r="F508" i="4"/>
  <c r="B508" i="4"/>
  <c r="A508" i="4"/>
  <c r="F507" i="4"/>
  <c r="B507" i="4"/>
  <c r="A507" i="4"/>
  <c r="F506" i="4"/>
  <c r="B506" i="4"/>
  <c r="A506" i="4"/>
  <c r="F505" i="4"/>
  <c r="B505" i="4"/>
  <c r="A505" i="4"/>
  <c r="F504" i="4"/>
  <c r="B504" i="4"/>
  <c r="A504" i="4"/>
  <c r="F503" i="4"/>
  <c r="B503" i="4"/>
  <c r="A503" i="4"/>
  <c r="F502" i="4"/>
  <c r="B502" i="4"/>
  <c r="A502" i="4"/>
  <c r="F501" i="4"/>
  <c r="B501" i="4"/>
  <c r="A501" i="4"/>
  <c r="F500" i="4"/>
  <c r="B500" i="4"/>
  <c r="A500" i="4"/>
  <c r="F499" i="4"/>
  <c r="B499" i="4"/>
  <c r="A499" i="4"/>
  <c r="F498" i="4"/>
  <c r="B498" i="4"/>
  <c r="A498" i="4"/>
  <c r="F497" i="4"/>
  <c r="B497" i="4"/>
  <c r="A497" i="4"/>
  <c r="F496" i="4"/>
  <c r="B496" i="4"/>
  <c r="A496" i="4"/>
  <c r="F495" i="4"/>
  <c r="B495" i="4"/>
  <c r="A495" i="4"/>
  <c r="F494" i="4"/>
  <c r="B494" i="4"/>
  <c r="A494" i="4"/>
  <c r="F493" i="4"/>
  <c r="B493" i="4"/>
  <c r="A493" i="4"/>
  <c r="F492" i="4"/>
  <c r="B492" i="4"/>
  <c r="A492" i="4"/>
  <c r="F491" i="4"/>
  <c r="B491" i="4"/>
  <c r="A491" i="4"/>
  <c r="F490" i="4"/>
  <c r="B490" i="4"/>
  <c r="A490" i="4"/>
  <c r="F489" i="4"/>
  <c r="B489" i="4"/>
  <c r="A489" i="4"/>
  <c r="F488" i="4"/>
  <c r="B488" i="4"/>
  <c r="A488" i="4"/>
  <c r="F487" i="4"/>
  <c r="B487" i="4"/>
  <c r="A487" i="4"/>
  <c r="F486" i="4"/>
  <c r="B486" i="4"/>
  <c r="A486" i="4"/>
  <c r="F485" i="4"/>
  <c r="B485" i="4"/>
  <c r="A485" i="4"/>
  <c r="F484" i="4"/>
  <c r="B484" i="4"/>
  <c r="A484" i="4"/>
  <c r="F483" i="4"/>
  <c r="B483" i="4"/>
  <c r="A483" i="4"/>
  <c r="F482" i="4"/>
  <c r="B482" i="4"/>
  <c r="A482" i="4"/>
  <c r="F481" i="4"/>
  <c r="B481" i="4"/>
  <c r="A481" i="4"/>
  <c r="F480" i="4"/>
  <c r="B480" i="4"/>
  <c r="A480" i="4"/>
  <c r="F479" i="4"/>
  <c r="B479" i="4"/>
  <c r="A479" i="4"/>
  <c r="F478" i="4"/>
  <c r="B478" i="4"/>
  <c r="A478" i="4"/>
  <c r="F477" i="4"/>
  <c r="B477" i="4"/>
  <c r="A477" i="4"/>
  <c r="F476" i="4"/>
  <c r="B476" i="4"/>
  <c r="A476" i="4"/>
  <c r="F475" i="4"/>
  <c r="B475" i="4"/>
  <c r="A475" i="4"/>
  <c r="F474" i="4"/>
  <c r="B474" i="4"/>
  <c r="A474" i="4"/>
  <c r="F473" i="4"/>
  <c r="B473" i="4"/>
  <c r="A473" i="4"/>
  <c r="F472" i="4"/>
  <c r="B472" i="4"/>
  <c r="A472" i="4"/>
  <c r="F471" i="4"/>
  <c r="B471" i="4"/>
  <c r="A471" i="4"/>
  <c r="F470" i="4"/>
  <c r="B470" i="4"/>
  <c r="A470" i="4"/>
  <c r="F469" i="4"/>
  <c r="B469" i="4"/>
  <c r="A469" i="4"/>
  <c r="F468" i="4"/>
  <c r="B468" i="4"/>
  <c r="A468" i="4"/>
  <c r="F467" i="4"/>
  <c r="B467" i="4"/>
  <c r="A467" i="4"/>
  <c r="F466" i="4"/>
  <c r="B466" i="4"/>
  <c r="A466" i="4"/>
  <c r="F465" i="4"/>
  <c r="B465" i="4"/>
  <c r="A465" i="4"/>
  <c r="F464" i="4"/>
  <c r="B464" i="4"/>
  <c r="A464" i="4"/>
  <c r="F463" i="4"/>
  <c r="B463" i="4"/>
  <c r="A463" i="4"/>
  <c r="F462" i="4"/>
  <c r="B462" i="4"/>
  <c r="A462" i="4"/>
  <c r="F461" i="4"/>
  <c r="B461" i="4"/>
  <c r="A461" i="4"/>
  <c r="F460" i="4"/>
  <c r="B460" i="4"/>
  <c r="A460" i="4"/>
  <c r="F459" i="4"/>
  <c r="B459" i="4"/>
  <c r="A459" i="4"/>
  <c r="F458" i="4"/>
  <c r="B458" i="4"/>
  <c r="A458" i="4"/>
  <c r="F457" i="4"/>
  <c r="B457" i="4"/>
  <c r="A457" i="4"/>
  <c r="F456" i="4"/>
  <c r="B456" i="4"/>
  <c r="A456" i="4"/>
  <c r="F455" i="4"/>
  <c r="B455" i="4"/>
  <c r="A455" i="4"/>
  <c r="F454" i="4"/>
  <c r="B454" i="4"/>
  <c r="A454" i="4"/>
  <c r="F453" i="4"/>
  <c r="B453" i="4"/>
  <c r="A453" i="4"/>
  <c r="F452" i="4"/>
  <c r="B452" i="4"/>
  <c r="A452" i="4"/>
  <c r="F451" i="4"/>
  <c r="B451" i="4"/>
  <c r="A451" i="4"/>
  <c r="F450" i="4"/>
  <c r="B450" i="4"/>
  <c r="A450" i="4"/>
  <c r="F449" i="4"/>
  <c r="B449" i="4"/>
  <c r="A449" i="4"/>
  <c r="F448" i="4"/>
  <c r="B448" i="4"/>
  <c r="A448" i="4"/>
  <c r="F447" i="4"/>
  <c r="B447" i="4"/>
  <c r="A447" i="4"/>
  <c r="F446" i="4"/>
  <c r="B446" i="4"/>
  <c r="A446" i="4"/>
  <c r="F445" i="4"/>
  <c r="B445" i="4"/>
  <c r="A445" i="4"/>
  <c r="F444" i="4"/>
  <c r="B444" i="4"/>
  <c r="A444" i="4"/>
  <c r="F443" i="4"/>
  <c r="B443" i="4"/>
  <c r="A443" i="4"/>
  <c r="F442" i="4"/>
  <c r="B442" i="4"/>
  <c r="A442" i="4"/>
  <c r="F441" i="4"/>
  <c r="B441" i="4"/>
  <c r="A441" i="4"/>
  <c r="F440" i="4"/>
  <c r="B440" i="4"/>
  <c r="A440" i="4"/>
  <c r="F439" i="4"/>
  <c r="B439" i="4"/>
  <c r="A439" i="4"/>
  <c r="F438" i="4"/>
  <c r="B438" i="4"/>
  <c r="A438" i="4"/>
  <c r="F437" i="4"/>
  <c r="B437" i="4"/>
  <c r="A437" i="4"/>
  <c r="F436" i="4"/>
  <c r="B436" i="4"/>
  <c r="A436" i="4"/>
  <c r="F435" i="4"/>
  <c r="B435" i="4"/>
  <c r="A435" i="4"/>
  <c r="F434" i="4"/>
  <c r="B434" i="4"/>
  <c r="A434" i="4"/>
  <c r="F433" i="4"/>
  <c r="B433" i="4"/>
  <c r="A433" i="4"/>
  <c r="F432" i="4"/>
  <c r="B432" i="4"/>
  <c r="A432" i="4"/>
  <c r="F431" i="4"/>
  <c r="B431" i="4"/>
  <c r="A431" i="4"/>
  <c r="F430" i="4"/>
  <c r="B430" i="4"/>
  <c r="A430" i="4"/>
  <c r="F429" i="4"/>
  <c r="B429" i="4"/>
  <c r="A429" i="4"/>
  <c r="F428" i="4"/>
  <c r="B428" i="4"/>
  <c r="A428" i="4"/>
  <c r="F427" i="4"/>
  <c r="B427" i="4"/>
  <c r="A427" i="4"/>
  <c r="F426" i="4"/>
  <c r="B426" i="4"/>
  <c r="A426" i="4"/>
  <c r="F425" i="4"/>
  <c r="B425" i="4"/>
  <c r="A425" i="4"/>
  <c r="F424" i="4"/>
  <c r="B424" i="4"/>
  <c r="A424" i="4"/>
  <c r="F423" i="4"/>
  <c r="B423" i="4"/>
  <c r="A423" i="4"/>
  <c r="F422" i="4"/>
  <c r="B422" i="4"/>
  <c r="A422" i="4"/>
  <c r="F421" i="4"/>
  <c r="B421" i="4"/>
  <c r="A421" i="4"/>
  <c r="F420" i="4"/>
  <c r="B420" i="4"/>
  <c r="A420" i="4"/>
  <c r="F419" i="4"/>
  <c r="B419" i="4"/>
  <c r="A419" i="4"/>
  <c r="F418" i="4"/>
  <c r="B418" i="4"/>
  <c r="A418" i="4"/>
  <c r="F417" i="4"/>
  <c r="B417" i="4"/>
  <c r="A417" i="4"/>
  <c r="F416" i="4"/>
  <c r="B416" i="4"/>
  <c r="A416" i="4"/>
  <c r="F415" i="4"/>
  <c r="B415" i="4"/>
  <c r="A415" i="4"/>
  <c r="F414" i="4"/>
  <c r="B414" i="4"/>
  <c r="A414" i="4"/>
  <c r="F413" i="4"/>
  <c r="B413" i="4"/>
  <c r="A413" i="4"/>
  <c r="F412" i="4"/>
  <c r="B412" i="4"/>
  <c r="A412" i="4"/>
  <c r="F411" i="4"/>
  <c r="B411" i="4"/>
  <c r="A411" i="4"/>
  <c r="F410" i="4"/>
  <c r="B410" i="4"/>
  <c r="A410" i="4"/>
  <c r="F409" i="4"/>
  <c r="B409" i="4"/>
  <c r="A409" i="4"/>
  <c r="F408" i="4"/>
  <c r="B408" i="4"/>
  <c r="A408" i="4"/>
  <c r="F407" i="4"/>
  <c r="B407" i="4"/>
  <c r="A407" i="4"/>
  <c r="F406" i="4"/>
  <c r="B406" i="4"/>
  <c r="A406" i="4"/>
  <c r="F405" i="4"/>
  <c r="B405" i="4"/>
  <c r="A405" i="4"/>
  <c r="F404" i="4"/>
  <c r="B404" i="4"/>
  <c r="A404" i="4"/>
  <c r="F403" i="4"/>
  <c r="B403" i="4"/>
  <c r="A403" i="4"/>
  <c r="F402" i="4"/>
  <c r="B402" i="4"/>
  <c r="A402" i="4"/>
  <c r="F401" i="4"/>
  <c r="B401" i="4"/>
  <c r="A401" i="4"/>
  <c r="F400" i="4"/>
  <c r="B400" i="4"/>
  <c r="A400" i="4"/>
  <c r="F399" i="4"/>
  <c r="B399" i="4"/>
  <c r="A399" i="4"/>
  <c r="F398" i="4"/>
  <c r="B398" i="4"/>
  <c r="A398" i="4"/>
  <c r="F397" i="4"/>
  <c r="B397" i="4"/>
  <c r="A397" i="4"/>
  <c r="F396" i="4"/>
  <c r="B396" i="4"/>
  <c r="A396" i="4"/>
  <c r="F395" i="4"/>
  <c r="B395" i="4"/>
  <c r="A395" i="4"/>
  <c r="F394" i="4"/>
  <c r="B394" i="4"/>
  <c r="A394" i="4"/>
  <c r="F393" i="4"/>
  <c r="B393" i="4"/>
  <c r="A393" i="4"/>
  <c r="F392" i="4"/>
  <c r="B392" i="4"/>
  <c r="A392" i="4"/>
  <c r="F391" i="4"/>
  <c r="B391" i="4"/>
  <c r="A391" i="4"/>
  <c r="F390" i="4"/>
  <c r="B390" i="4"/>
  <c r="A390" i="4"/>
  <c r="F389" i="4"/>
  <c r="B389" i="4"/>
  <c r="A389" i="4"/>
  <c r="F388" i="4"/>
  <c r="B388" i="4"/>
  <c r="A388" i="4"/>
  <c r="F387" i="4"/>
  <c r="B387" i="4"/>
  <c r="A387" i="4"/>
  <c r="F386" i="4"/>
  <c r="B386" i="4"/>
  <c r="A386" i="4"/>
  <c r="F385" i="4"/>
  <c r="B385" i="4"/>
  <c r="A385" i="4"/>
  <c r="F384" i="4"/>
  <c r="B384" i="4"/>
  <c r="A384" i="4"/>
  <c r="F383" i="4"/>
  <c r="B383" i="4"/>
  <c r="A383" i="4"/>
  <c r="F382" i="4"/>
  <c r="B382" i="4"/>
  <c r="A382" i="4"/>
  <c r="F381" i="4"/>
  <c r="B381" i="4"/>
  <c r="A381" i="4"/>
  <c r="F380" i="4"/>
  <c r="B380" i="4"/>
  <c r="A380" i="4"/>
  <c r="F379" i="4"/>
  <c r="B379" i="4"/>
  <c r="A379" i="4"/>
  <c r="F378" i="4"/>
  <c r="B378" i="4"/>
  <c r="A378" i="4"/>
  <c r="F377" i="4"/>
  <c r="B377" i="4"/>
  <c r="A377" i="4"/>
  <c r="F376" i="4"/>
  <c r="B376" i="4"/>
  <c r="A376" i="4"/>
  <c r="F375" i="4"/>
  <c r="B375" i="4"/>
  <c r="A375" i="4"/>
  <c r="F374" i="4"/>
  <c r="B374" i="4"/>
  <c r="A374" i="4"/>
  <c r="F373" i="4"/>
  <c r="B373" i="4"/>
  <c r="A373" i="4"/>
  <c r="F372" i="4"/>
  <c r="B372" i="4"/>
  <c r="A372" i="4"/>
  <c r="F371" i="4"/>
  <c r="B371" i="4"/>
  <c r="A371" i="4"/>
  <c r="F370" i="4"/>
  <c r="B370" i="4"/>
  <c r="A370" i="4"/>
  <c r="F369" i="4"/>
  <c r="B369" i="4"/>
  <c r="A369" i="4"/>
  <c r="F368" i="4"/>
  <c r="B368" i="4"/>
  <c r="A368" i="4"/>
  <c r="F367" i="4"/>
  <c r="B367" i="4"/>
  <c r="A367" i="4"/>
  <c r="F366" i="4"/>
  <c r="B366" i="4"/>
  <c r="A366" i="4"/>
  <c r="F365" i="4"/>
  <c r="B365" i="4"/>
  <c r="A365" i="4"/>
  <c r="F364" i="4"/>
  <c r="B364" i="4"/>
  <c r="A364" i="4"/>
  <c r="F363" i="4"/>
  <c r="B363" i="4"/>
  <c r="A363" i="4"/>
  <c r="F362" i="4"/>
  <c r="B362" i="4"/>
  <c r="A362" i="4"/>
  <c r="F361" i="4"/>
  <c r="B361" i="4"/>
  <c r="A361" i="4"/>
  <c r="F360" i="4"/>
  <c r="B360" i="4"/>
  <c r="A360" i="4"/>
  <c r="F359" i="4"/>
  <c r="B359" i="4"/>
  <c r="A359" i="4"/>
  <c r="F358" i="4"/>
  <c r="B358" i="4"/>
  <c r="A358" i="4"/>
  <c r="F357" i="4"/>
  <c r="B357" i="4"/>
  <c r="A357" i="4"/>
  <c r="F356" i="4"/>
  <c r="B356" i="4"/>
  <c r="A356" i="4"/>
  <c r="F355" i="4"/>
  <c r="B355" i="4"/>
  <c r="A355" i="4"/>
  <c r="F354" i="4"/>
  <c r="B354" i="4"/>
  <c r="A354" i="4"/>
  <c r="F353" i="4"/>
  <c r="B353" i="4"/>
  <c r="A353" i="4"/>
  <c r="F352" i="4"/>
  <c r="B352" i="4"/>
  <c r="A352" i="4"/>
  <c r="F351" i="4"/>
  <c r="B351" i="4"/>
  <c r="A351" i="4"/>
  <c r="F350" i="4"/>
  <c r="B350" i="4"/>
  <c r="A350" i="4"/>
  <c r="F349" i="4"/>
  <c r="B349" i="4"/>
  <c r="A349" i="4"/>
  <c r="F348" i="4"/>
  <c r="B348" i="4"/>
  <c r="A348" i="4"/>
  <c r="F347" i="4"/>
  <c r="B347" i="4"/>
  <c r="A347" i="4"/>
  <c r="F346" i="4"/>
  <c r="B346" i="4"/>
  <c r="A346" i="4"/>
  <c r="F345" i="4"/>
  <c r="B345" i="4"/>
  <c r="A345" i="4"/>
  <c r="F344" i="4"/>
  <c r="B344" i="4"/>
  <c r="A344" i="4"/>
  <c r="F343" i="4"/>
  <c r="B343" i="4"/>
  <c r="A343" i="4"/>
  <c r="F342" i="4"/>
  <c r="B342" i="4"/>
  <c r="A342" i="4"/>
  <c r="F341" i="4"/>
  <c r="B341" i="4"/>
  <c r="A341" i="4"/>
  <c r="F340" i="4"/>
  <c r="B340" i="4"/>
  <c r="A340" i="4"/>
  <c r="F339" i="4"/>
  <c r="B339" i="4"/>
  <c r="A339" i="4"/>
  <c r="F338" i="4"/>
  <c r="B338" i="4"/>
  <c r="A338" i="4"/>
  <c r="F337" i="4"/>
  <c r="B337" i="4"/>
  <c r="A337" i="4"/>
  <c r="F336" i="4"/>
  <c r="B336" i="4"/>
  <c r="A336" i="4"/>
  <c r="F335" i="4"/>
  <c r="B335" i="4"/>
  <c r="A335" i="4"/>
  <c r="F334" i="4"/>
  <c r="B334" i="4"/>
  <c r="A334" i="4"/>
  <c r="F333" i="4"/>
  <c r="B333" i="4"/>
  <c r="A333" i="4"/>
  <c r="F332" i="4"/>
  <c r="B332" i="4"/>
  <c r="A332" i="4"/>
  <c r="F331" i="4"/>
  <c r="B331" i="4"/>
  <c r="A331" i="4"/>
  <c r="F330" i="4"/>
  <c r="B330" i="4"/>
  <c r="A330" i="4"/>
  <c r="F329" i="4"/>
  <c r="B329" i="4"/>
  <c r="A329" i="4"/>
  <c r="F328" i="4"/>
  <c r="B328" i="4"/>
  <c r="A328" i="4"/>
  <c r="F327" i="4"/>
  <c r="B327" i="4"/>
  <c r="A327" i="4"/>
  <c r="F326" i="4"/>
  <c r="B326" i="4"/>
  <c r="A326" i="4"/>
  <c r="F325" i="4"/>
  <c r="B325" i="4"/>
  <c r="A325" i="4"/>
  <c r="F324" i="4"/>
  <c r="B324" i="4"/>
  <c r="A324" i="4"/>
  <c r="F323" i="4"/>
  <c r="B323" i="4"/>
  <c r="A323" i="4"/>
  <c r="F322" i="4"/>
  <c r="B322" i="4"/>
  <c r="A322" i="4"/>
  <c r="F321" i="4"/>
  <c r="B321" i="4"/>
  <c r="A321" i="4"/>
  <c r="F320" i="4"/>
  <c r="B320" i="4"/>
  <c r="A320" i="4"/>
  <c r="F319" i="4"/>
  <c r="B319" i="4"/>
  <c r="A319" i="4"/>
  <c r="F318" i="4"/>
  <c r="B318" i="4"/>
  <c r="A318" i="4"/>
  <c r="F317" i="4"/>
  <c r="B317" i="4"/>
  <c r="A317" i="4"/>
  <c r="F316" i="4"/>
  <c r="B316" i="4"/>
  <c r="A316" i="4"/>
  <c r="F315" i="4"/>
  <c r="B315" i="4"/>
  <c r="A315" i="4"/>
  <c r="F314" i="4"/>
  <c r="B314" i="4"/>
  <c r="A314" i="4"/>
  <c r="F313" i="4"/>
  <c r="B313" i="4"/>
  <c r="A313" i="4"/>
  <c r="F312" i="4"/>
  <c r="B312" i="4"/>
  <c r="A312" i="4"/>
  <c r="F311" i="4"/>
  <c r="B311" i="4"/>
  <c r="A311" i="4"/>
  <c r="F310" i="4"/>
  <c r="B310" i="4"/>
  <c r="A310" i="4"/>
  <c r="F309" i="4"/>
  <c r="B309" i="4"/>
  <c r="A309" i="4"/>
  <c r="F308" i="4"/>
  <c r="B308" i="4"/>
  <c r="A308" i="4"/>
  <c r="F307" i="4"/>
  <c r="B307" i="4"/>
  <c r="A307" i="4"/>
  <c r="F306" i="4"/>
  <c r="B306" i="4"/>
  <c r="A306" i="4"/>
  <c r="F305" i="4"/>
  <c r="B305" i="4"/>
  <c r="A305" i="4"/>
  <c r="F304" i="4"/>
  <c r="B304" i="4"/>
  <c r="A304" i="4"/>
  <c r="F303" i="4"/>
  <c r="B303" i="4"/>
  <c r="A303" i="4"/>
  <c r="F302" i="4"/>
  <c r="B302" i="4"/>
  <c r="A302" i="4"/>
  <c r="F301" i="4"/>
  <c r="B301" i="4"/>
  <c r="A301" i="4"/>
  <c r="F300" i="4"/>
  <c r="B300" i="4"/>
  <c r="A300" i="4"/>
  <c r="F299" i="4"/>
  <c r="B299" i="4"/>
  <c r="A299" i="4"/>
  <c r="F298" i="4"/>
  <c r="B298" i="4"/>
  <c r="A298" i="4"/>
  <c r="F297" i="4"/>
  <c r="B297" i="4"/>
  <c r="A297" i="4"/>
  <c r="F296" i="4"/>
  <c r="B296" i="4"/>
  <c r="A296" i="4"/>
  <c r="F295" i="4"/>
  <c r="B295" i="4"/>
  <c r="A295" i="4"/>
  <c r="F294" i="4"/>
  <c r="B294" i="4"/>
  <c r="A294" i="4"/>
  <c r="F293" i="4"/>
  <c r="B293" i="4"/>
  <c r="A293" i="4"/>
  <c r="F292" i="4"/>
  <c r="B292" i="4"/>
  <c r="A292" i="4"/>
  <c r="F291" i="4"/>
  <c r="B291" i="4"/>
  <c r="A291" i="4"/>
  <c r="F290" i="4"/>
  <c r="B290" i="4"/>
  <c r="A290" i="4"/>
  <c r="F289" i="4"/>
  <c r="B289" i="4"/>
  <c r="A289" i="4"/>
  <c r="F288" i="4"/>
  <c r="B288" i="4"/>
  <c r="A288" i="4"/>
  <c r="F287" i="4"/>
  <c r="B287" i="4"/>
  <c r="A287" i="4"/>
  <c r="F286" i="4"/>
  <c r="B286" i="4"/>
  <c r="A286" i="4"/>
  <c r="F285" i="4"/>
  <c r="B285" i="4"/>
  <c r="A285" i="4"/>
  <c r="F284" i="4"/>
  <c r="B284" i="4"/>
  <c r="A284" i="4"/>
  <c r="F283" i="4"/>
  <c r="B283" i="4"/>
  <c r="A283" i="4"/>
  <c r="F282" i="4"/>
  <c r="B282" i="4"/>
  <c r="A282" i="4"/>
  <c r="F281" i="4"/>
  <c r="B281" i="4"/>
  <c r="A281" i="4"/>
  <c r="F280" i="4"/>
  <c r="B280" i="4"/>
  <c r="A280" i="4"/>
  <c r="F279" i="4"/>
  <c r="B279" i="4"/>
  <c r="A279" i="4"/>
  <c r="F278" i="4"/>
  <c r="B278" i="4"/>
  <c r="A278" i="4"/>
  <c r="F277" i="4"/>
  <c r="B277" i="4"/>
  <c r="A277" i="4"/>
  <c r="F276" i="4"/>
  <c r="B276" i="4"/>
  <c r="A276" i="4"/>
  <c r="F275" i="4"/>
  <c r="B275" i="4"/>
  <c r="A275" i="4"/>
  <c r="F274" i="4"/>
  <c r="B274" i="4"/>
  <c r="A274" i="4"/>
  <c r="F273" i="4"/>
  <c r="B273" i="4"/>
  <c r="A273" i="4"/>
  <c r="F272" i="4"/>
  <c r="B272" i="4"/>
  <c r="A272" i="4"/>
  <c r="F271" i="4"/>
  <c r="B271" i="4"/>
  <c r="A271" i="4"/>
  <c r="F270" i="4"/>
  <c r="B270" i="4"/>
  <c r="A270" i="4"/>
  <c r="F269" i="4"/>
  <c r="B269" i="4"/>
  <c r="A269" i="4"/>
  <c r="F268" i="4"/>
  <c r="B268" i="4"/>
  <c r="A268" i="4"/>
  <c r="F267" i="4"/>
  <c r="B267" i="4"/>
  <c r="A267" i="4"/>
  <c r="F266" i="4"/>
  <c r="B266" i="4"/>
  <c r="A266" i="4"/>
  <c r="F265" i="4"/>
  <c r="B265" i="4"/>
  <c r="A265" i="4"/>
  <c r="F264" i="4"/>
  <c r="B264" i="4"/>
  <c r="A264" i="4"/>
  <c r="F263" i="4"/>
  <c r="B263" i="4"/>
  <c r="A263" i="4"/>
  <c r="F262" i="4"/>
  <c r="B262" i="4"/>
  <c r="A262" i="4"/>
  <c r="F261" i="4"/>
  <c r="B261" i="4"/>
  <c r="A261" i="4"/>
  <c r="F260" i="4"/>
  <c r="B260" i="4"/>
  <c r="A260" i="4"/>
  <c r="F259" i="4"/>
  <c r="B259" i="4"/>
  <c r="A259" i="4"/>
  <c r="F258" i="4"/>
  <c r="B258" i="4"/>
  <c r="A258" i="4"/>
  <c r="F257" i="4"/>
  <c r="B257" i="4"/>
  <c r="A257" i="4"/>
  <c r="F256" i="4"/>
  <c r="B256" i="4"/>
  <c r="A256" i="4"/>
  <c r="F255" i="4"/>
  <c r="B255" i="4"/>
  <c r="A255" i="4"/>
  <c r="F254" i="4"/>
  <c r="B254" i="4"/>
  <c r="A254" i="4"/>
  <c r="F253" i="4"/>
  <c r="B253" i="4"/>
  <c r="A253" i="4"/>
  <c r="F252" i="4"/>
  <c r="B252" i="4"/>
  <c r="A252" i="4"/>
  <c r="F251" i="4"/>
  <c r="B251" i="4"/>
  <c r="A251" i="4"/>
  <c r="F250" i="4"/>
  <c r="B250" i="4"/>
  <c r="A250" i="4"/>
  <c r="F249" i="4"/>
  <c r="B249" i="4"/>
  <c r="A249" i="4"/>
  <c r="F248" i="4"/>
  <c r="B248" i="4"/>
  <c r="A248" i="4"/>
  <c r="F247" i="4"/>
  <c r="B247" i="4"/>
  <c r="A247" i="4"/>
  <c r="F246" i="4"/>
  <c r="B246" i="4"/>
  <c r="A246" i="4"/>
  <c r="F245" i="4"/>
  <c r="B245" i="4"/>
  <c r="A245" i="4"/>
  <c r="F244" i="4"/>
  <c r="B244" i="4"/>
  <c r="A244" i="4"/>
  <c r="F243" i="4"/>
  <c r="B243" i="4"/>
  <c r="A243" i="4"/>
  <c r="F242" i="4"/>
  <c r="B242" i="4"/>
  <c r="A242" i="4"/>
  <c r="F241" i="4"/>
  <c r="B241" i="4"/>
  <c r="A241" i="4"/>
  <c r="F240" i="4"/>
  <c r="B240" i="4"/>
  <c r="A240" i="4"/>
  <c r="F239" i="4"/>
  <c r="B239" i="4"/>
  <c r="A239" i="4"/>
  <c r="F238" i="4"/>
  <c r="B238" i="4"/>
  <c r="A238" i="4"/>
  <c r="F237" i="4"/>
  <c r="B237" i="4"/>
  <c r="A237" i="4"/>
  <c r="F236" i="4"/>
  <c r="B236" i="4"/>
  <c r="A236" i="4"/>
  <c r="F235" i="4"/>
  <c r="B235" i="4"/>
  <c r="A235" i="4"/>
  <c r="F234" i="4"/>
  <c r="B234" i="4"/>
  <c r="A234" i="4"/>
  <c r="F233" i="4"/>
  <c r="B233" i="4"/>
  <c r="A233" i="4"/>
  <c r="F232" i="4"/>
  <c r="B232" i="4"/>
  <c r="A232" i="4"/>
  <c r="F231" i="4"/>
  <c r="B231" i="4"/>
  <c r="A231" i="4"/>
  <c r="F230" i="4"/>
  <c r="B230" i="4"/>
  <c r="A230" i="4"/>
  <c r="F229" i="4"/>
  <c r="B229" i="4"/>
  <c r="A229" i="4"/>
  <c r="F228" i="4"/>
  <c r="B228" i="4"/>
  <c r="A228" i="4"/>
  <c r="F227" i="4"/>
  <c r="B227" i="4"/>
  <c r="A227" i="4"/>
  <c r="F226" i="4"/>
  <c r="B226" i="4"/>
  <c r="A226" i="4"/>
  <c r="F225" i="4"/>
  <c r="B225" i="4"/>
  <c r="A225" i="4"/>
  <c r="F224" i="4"/>
  <c r="B224" i="4"/>
  <c r="A224" i="4"/>
  <c r="F223" i="4"/>
  <c r="B223" i="4"/>
  <c r="A223" i="4"/>
  <c r="F222" i="4"/>
  <c r="B222" i="4"/>
  <c r="A222" i="4"/>
  <c r="F221" i="4"/>
  <c r="B221" i="4"/>
  <c r="A221" i="4"/>
  <c r="F220" i="4"/>
  <c r="B220" i="4"/>
  <c r="A220" i="4"/>
  <c r="F219" i="4"/>
  <c r="B219" i="4"/>
  <c r="A219" i="4"/>
  <c r="F218" i="4"/>
  <c r="B218" i="4"/>
  <c r="A218" i="4"/>
  <c r="F217" i="4"/>
  <c r="B217" i="4"/>
  <c r="A217" i="4"/>
  <c r="F216" i="4"/>
  <c r="B216" i="4"/>
  <c r="A216" i="4"/>
  <c r="F215" i="4"/>
  <c r="B215" i="4"/>
  <c r="A215" i="4"/>
  <c r="F214" i="4"/>
  <c r="B214" i="4"/>
  <c r="A214" i="4"/>
  <c r="F213" i="4"/>
  <c r="B213" i="4"/>
  <c r="A213" i="4"/>
  <c r="F212" i="4"/>
  <c r="B212" i="4"/>
  <c r="A212" i="4"/>
  <c r="F211" i="4"/>
  <c r="B211" i="4"/>
  <c r="A211" i="4"/>
  <c r="F210" i="4"/>
  <c r="B210" i="4"/>
  <c r="A210" i="4"/>
  <c r="F209" i="4"/>
  <c r="B209" i="4"/>
  <c r="A209" i="4"/>
  <c r="F208" i="4"/>
  <c r="B208" i="4"/>
  <c r="A208" i="4"/>
  <c r="F207" i="4"/>
  <c r="B207" i="4"/>
  <c r="A207" i="4"/>
  <c r="F206" i="4"/>
  <c r="B206" i="4"/>
  <c r="A206" i="4"/>
  <c r="F205" i="4"/>
  <c r="B205" i="4"/>
  <c r="A205" i="4"/>
  <c r="F204" i="4"/>
  <c r="B204" i="4"/>
  <c r="A204" i="4"/>
  <c r="F203" i="4"/>
  <c r="B203" i="4"/>
  <c r="A203" i="4"/>
  <c r="F202" i="4"/>
  <c r="B202" i="4"/>
  <c r="A202" i="4"/>
  <c r="F201" i="4"/>
  <c r="B201" i="4"/>
  <c r="A201" i="4"/>
  <c r="F200" i="4"/>
  <c r="B200" i="4"/>
  <c r="A200" i="4"/>
  <c r="F199" i="4"/>
  <c r="B199" i="4"/>
  <c r="A199" i="4"/>
  <c r="F198" i="4"/>
  <c r="B198" i="4"/>
  <c r="A198" i="4"/>
  <c r="F197" i="4"/>
  <c r="B197" i="4"/>
  <c r="A197" i="4"/>
  <c r="F196" i="4"/>
  <c r="B196" i="4"/>
  <c r="A196" i="4"/>
  <c r="F195" i="4"/>
  <c r="B195" i="4"/>
  <c r="A195" i="4"/>
  <c r="F194" i="4"/>
  <c r="B194" i="4"/>
  <c r="A194" i="4"/>
  <c r="F193" i="4"/>
  <c r="B193" i="4"/>
  <c r="A193" i="4"/>
  <c r="F192" i="4"/>
  <c r="B192" i="4"/>
  <c r="A192" i="4"/>
  <c r="F191" i="4"/>
  <c r="B191" i="4"/>
  <c r="A191" i="4"/>
  <c r="F190" i="4"/>
  <c r="B190" i="4"/>
  <c r="A190" i="4"/>
  <c r="F189" i="4"/>
  <c r="B189" i="4"/>
  <c r="A189" i="4"/>
  <c r="F188" i="4"/>
  <c r="B188" i="4"/>
  <c r="A188" i="4"/>
  <c r="F187" i="4"/>
  <c r="B187" i="4"/>
  <c r="A187" i="4"/>
  <c r="F186" i="4"/>
  <c r="B186" i="4"/>
  <c r="A186" i="4"/>
  <c r="F185" i="4"/>
  <c r="B185" i="4"/>
  <c r="A185" i="4"/>
  <c r="F184" i="4"/>
  <c r="B184" i="4"/>
  <c r="A184" i="4"/>
  <c r="F183" i="4"/>
  <c r="B183" i="4"/>
  <c r="A183" i="4"/>
  <c r="F182" i="4"/>
  <c r="B182" i="4"/>
  <c r="A182" i="4"/>
  <c r="F181" i="4"/>
  <c r="B181" i="4"/>
  <c r="A181" i="4"/>
  <c r="F180" i="4"/>
  <c r="B180" i="4"/>
  <c r="A180" i="4"/>
  <c r="F179" i="4"/>
  <c r="B179" i="4"/>
  <c r="A179" i="4"/>
  <c r="F178" i="4"/>
  <c r="B178" i="4"/>
  <c r="A178" i="4"/>
  <c r="F177" i="4"/>
  <c r="B177" i="4"/>
  <c r="A177" i="4"/>
  <c r="F176" i="4"/>
  <c r="B176" i="4"/>
  <c r="A176" i="4"/>
  <c r="F175" i="4"/>
  <c r="B175" i="4"/>
  <c r="A175" i="4"/>
  <c r="F174" i="4"/>
  <c r="B174" i="4"/>
  <c r="A174" i="4"/>
  <c r="F173" i="4"/>
  <c r="B173" i="4"/>
  <c r="A173" i="4"/>
  <c r="F172" i="4"/>
  <c r="B172" i="4"/>
  <c r="A172" i="4"/>
  <c r="F171" i="4"/>
  <c r="B171" i="4"/>
  <c r="A171" i="4"/>
  <c r="F170" i="4"/>
  <c r="B170" i="4"/>
  <c r="A170" i="4"/>
  <c r="F169" i="4"/>
  <c r="B169" i="4"/>
  <c r="A169" i="4"/>
  <c r="F168" i="4"/>
  <c r="B168" i="4"/>
  <c r="A168" i="4"/>
  <c r="F167" i="4"/>
  <c r="B167" i="4"/>
  <c r="A167" i="4"/>
  <c r="F166" i="4"/>
  <c r="B166" i="4"/>
  <c r="A166" i="4"/>
  <c r="F165" i="4"/>
  <c r="B165" i="4"/>
  <c r="A165" i="4"/>
  <c r="F164" i="4"/>
  <c r="B164" i="4"/>
  <c r="A164" i="4"/>
  <c r="F163" i="4"/>
  <c r="B163" i="4"/>
  <c r="A163" i="4"/>
  <c r="F162" i="4"/>
  <c r="B162" i="4"/>
  <c r="A162" i="4"/>
  <c r="F161" i="4"/>
  <c r="B161" i="4"/>
  <c r="A161" i="4"/>
  <c r="F160" i="4"/>
  <c r="B160" i="4"/>
  <c r="A160" i="4"/>
  <c r="F159" i="4"/>
  <c r="B159" i="4"/>
  <c r="A159" i="4"/>
  <c r="F158" i="4"/>
  <c r="B158" i="4"/>
  <c r="A158" i="4"/>
  <c r="F157" i="4"/>
  <c r="B157" i="4"/>
  <c r="A157" i="4"/>
  <c r="F156" i="4"/>
  <c r="B156" i="4"/>
  <c r="A156" i="4"/>
  <c r="F155" i="4"/>
  <c r="B155" i="4"/>
  <c r="A155" i="4"/>
  <c r="F154" i="4"/>
  <c r="B154" i="4"/>
  <c r="A154" i="4"/>
  <c r="F153" i="4"/>
  <c r="B153" i="4"/>
  <c r="A153" i="4"/>
  <c r="F152" i="4"/>
  <c r="B152" i="4"/>
  <c r="A152" i="4"/>
  <c r="F151" i="4"/>
  <c r="B151" i="4"/>
  <c r="A151" i="4"/>
  <c r="F150" i="4"/>
  <c r="B150" i="4"/>
  <c r="A150" i="4"/>
  <c r="F149" i="4"/>
  <c r="B149" i="4"/>
  <c r="A149" i="4"/>
  <c r="F148" i="4"/>
  <c r="B148" i="4"/>
  <c r="A148" i="4"/>
  <c r="F147" i="4"/>
  <c r="B147" i="4"/>
  <c r="A147" i="4"/>
  <c r="F146" i="4"/>
  <c r="B146" i="4"/>
  <c r="A146" i="4"/>
  <c r="F145" i="4"/>
  <c r="B145" i="4"/>
  <c r="A145" i="4"/>
  <c r="F144" i="4"/>
  <c r="B144" i="4"/>
  <c r="A144" i="4"/>
  <c r="F143" i="4"/>
  <c r="B143" i="4"/>
  <c r="A143" i="4"/>
  <c r="F142" i="4"/>
  <c r="B142" i="4"/>
  <c r="A142" i="4"/>
  <c r="F141" i="4"/>
  <c r="B141" i="4"/>
  <c r="A141" i="4"/>
  <c r="F140" i="4"/>
  <c r="B140" i="4"/>
  <c r="A140" i="4"/>
  <c r="F139" i="4"/>
  <c r="B139" i="4"/>
  <c r="A139" i="4"/>
  <c r="F138" i="4"/>
  <c r="B138" i="4"/>
  <c r="A138" i="4"/>
  <c r="F137" i="4"/>
  <c r="B137" i="4"/>
  <c r="A137" i="4"/>
  <c r="F136" i="4"/>
  <c r="B136" i="4"/>
  <c r="A136" i="4"/>
  <c r="F135" i="4"/>
  <c r="B135" i="4"/>
  <c r="A135" i="4"/>
  <c r="F134" i="4"/>
  <c r="B134" i="4"/>
  <c r="A134" i="4"/>
  <c r="F133" i="4"/>
  <c r="B133" i="4"/>
  <c r="A133" i="4"/>
  <c r="F132" i="4"/>
  <c r="B132" i="4"/>
  <c r="A132" i="4"/>
  <c r="F131" i="4"/>
  <c r="B131" i="4"/>
  <c r="A131" i="4"/>
  <c r="F130" i="4"/>
  <c r="B130" i="4"/>
  <c r="A130" i="4"/>
  <c r="F129" i="4"/>
  <c r="B129" i="4"/>
  <c r="A129" i="4"/>
  <c r="F128" i="4"/>
  <c r="B128" i="4"/>
  <c r="A128" i="4"/>
  <c r="F127" i="4"/>
  <c r="B127" i="4"/>
  <c r="A127" i="4"/>
  <c r="F126" i="4"/>
  <c r="B126" i="4"/>
  <c r="A126" i="4"/>
  <c r="F125" i="4"/>
  <c r="B125" i="4"/>
  <c r="A125" i="4"/>
  <c r="F124" i="4"/>
  <c r="B124" i="4"/>
  <c r="A124" i="4"/>
  <c r="F123" i="4"/>
  <c r="B123" i="4"/>
  <c r="A123" i="4"/>
  <c r="F122" i="4"/>
  <c r="B122" i="4"/>
  <c r="A122" i="4"/>
  <c r="F121" i="4"/>
  <c r="B121" i="4"/>
  <c r="A121" i="4"/>
  <c r="F120" i="4"/>
  <c r="B120" i="4"/>
  <c r="A120" i="4"/>
  <c r="F119" i="4"/>
  <c r="B119" i="4"/>
  <c r="A119" i="4"/>
  <c r="F118" i="4"/>
  <c r="B118" i="4"/>
  <c r="A118" i="4"/>
  <c r="F117" i="4"/>
  <c r="B117" i="4"/>
  <c r="A117" i="4"/>
  <c r="F116" i="4"/>
  <c r="B116" i="4"/>
  <c r="A116" i="4"/>
  <c r="F115" i="4"/>
  <c r="B115" i="4"/>
  <c r="A115" i="4"/>
  <c r="F114" i="4"/>
  <c r="B114" i="4"/>
  <c r="A114" i="4"/>
  <c r="F113" i="4"/>
  <c r="B113" i="4"/>
  <c r="A113" i="4"/>
  <c r="F112" i="4"/>
  <c r="B112" i="4"/>
  <c r="A112" i="4"/>
  <c r="F111" i="4"/>
  <c r="B111" i="4"/>
  <c r="A111" i="4"/>
  <c r="F110" i="4"/>
  <c r="B110" i="4"/>
  <c r="A110" i="4"/>
  <c r="F109" i="4"/>
  <c r="B109" i="4"/>
  <c r="A109" i="4"/>
  <c r="F108" i="4"/>
  <c r="B108" i="4"/>
  <c r="A108" i="4"/>
  <c r="F107" i="4"/>
  <c r="B107" i="4"/>
  <c r="A107" i="4"/>
  <c r="F106" i="4"/>
  <c r="B106" i="4"/>
  <c r="A106" i="4"/>
  <c r="F105" i="4"/>
  <c r="B105" i="4"/>
  <c r="A105" i="4"/>
  <c r="F104" i="4"/>
  <c r="B104" i="4"/>
  <c r="A104" i="4"/>
  <c r="F103" i="4"/>
  <c r="B103" i="4"/>
  <c r="A103" i="4"/>
  <c r="F102" i="4"/>
  <c r="B102" i="4"/>
  <c r="A102" i="4"/>
  <c r="F101" i="4"/>
  <c r="B101" i="4"/>
  <c r="A101" i="4"/>
  <c r="F100" i="4"/>
  <c r="B100" i="4"/>
  <c r="A100" i="4"/>
  <c r="F99" i="4"/>
  <c r="B99" i="4"/>
  <c r="A99" i="4"/>
  <c r="F98" i="4"/>
  <c r="B98" i="4"/>
  <c r="A98" i="4"/>
  <c r="F97" i="4"/>
  <c r="B97" i="4"/>
  <c r="A97" i="4"/>
  <c r="F96" i="4"/>
  <c r="B96" i="4"/>
  <c r="A96" i="4"/>
  <c r="F95" i="4"/>
  <c r="B95" i="4"/>
  <c r="A95" i="4"/>
  <c r="F94" i="4"/>
  <c r="B94" i="4"/>
  <c r="A94" i="4"/>
  <c r="F93" i="4"/>
  <c r="B93" i="4"/>
  <c r="A93" i="4"/>
  <c r="F92" i="4"/>
  <c r="B92" i="4"/>
  <c r="A92" i="4"/>
  <c r="F91" i="4"/>
  <c r="B91" i="4"/>
  <c r="A91" i="4"/>
  <c r="F90" i="4"/>
  <c r="B90" i="4"/>
  <c r="A90" i="4"/>
  <c r="F89" i="4"/>
  <c r="B89" i="4"/>
  <c r="A89" i="4"/>
  <c r="F88" i="4"/>
  <c r="B88" i="4"/>
  <c r="A88" i="4"/>
  <c r="F87" i="4"/>
  <c r="B87" i="4"/>
  <c r="A87" i="4"/>
  <c r="F86" i="4"/>
  <c r="B86" i="4"/>
  <c r="A86" i="4"/>
  <c r="F85" i="4"/>
  <c r="B85" i="4"/>
  <c r="A85" i="4"/>
  <c r="F84" i="4"/>
  <c r="B84" i="4"/>
  <c r="A84" i="4"/>
  <c r="F83" i="4"/>
  <c r="B83" i="4"/>
  <c r="A83" i="4"/>
  <c r="F82" i="4"/>
  <c r="B82" i="4"/>
  <c r="A82" i="4"/>
  <c r="F81" i="4"/>
  <c r="B81" i="4"/>
  <c r="A81" i="4"/>
  <c r="F80" i="4"/>
  <c r="B80" i="4"/>
  <c r="A80" i="4"/>
  <c r="F79" i="4"/>
  <c r="B79" i="4"/>
  <c r="A79" i="4"/>
  <c r="F78" i="4"/>
  <c r="B78" i="4"/>
  <c r="A78" i="4"/>
  <c r="F77" i="4"/>
  <c r="B77" i="4"/>
  <c r="A77" i="4"/>
  <c r="F76" i="4"/>
  <c r="B76" i="4"/>
  <c r="A76" i="4"/>
  <c r="F75" i="4"/>
  <c r="B75" i="4"/>
  <c r="A75" i="4"/>
  <c r="F74" i="4"/>
  <c r="B74" i="4"/>
  <c r="A74" i="4"/>
  <c r="F73" i="4"/>
  <c r="B73" i="4"/>
  <c r="A73" i="4"/>
  <c r="F72" i="4"/>
  <c r="B72" i="4"/>
  <c r="A72" i="4"/>
  <c r="F71" i="4"/>
  <c r="B71" i="4"/>
  <c r="A71" i="4"/>
  <c r="F70" i="4"/>
  <c r="B70" i="4"/>
  <c r="A70" i="4"/>
  <c r="F69" i="4"/>
  <c r="B69" i="4"/>
  <c r="A69" i="4"/>
  <c r="F68" i="4"/>
  <c r="B68" i="4"/>
  <c r="A68" i="4"/>
  <c r="F67" i="4"/>
  <c r="B67" i="4"/>
  <c r="A67" i="4"/>
  <c r="F66" i="4"/>
  <c r="B66" i="4"/>
  <c r="A66" i="4"/>
  <c r="F65" i="4"/>
  <c r="B65" i="4"/>
  <c r="A65" i="4"/>
  <c r="F64" i="4"/>
  <c r="B64" i="4"/>
  <c r="A64" i="4"/>
  <c r="F63" i="4"/>
  <c r="B63" i="4"/>
  <c r="A63" i="4"/>
  <c r="F62" i="4"/>
  <c r="B62" i="4"/>
  <c r="A62" i="4"/>
  <c r="F61" i="4"/>
  <c r="B61" i="4"/>
  <c r="A61" i="4"/>
  <c r="F60" i="4"/>
  <c r="B60" i="4"/>
  <c r="A60" i="4"/>
  <c r="F59" i="4"/>
  <c r="B59" i="4"/>
  <c r="A59" i="4"/>
  <c r="F58" i="4"/>
  <c r="B58" i="4"/>
  <c r="A58" i="4"/>
  <c r="F57" i="4"/>
  <c r="B57" i="4"/>
  <c r="A57" i="4"/>
  <c r="F56" i="4"/>
  <c r="B56" i="4"/>
  <c r="A56" i="4"/>
  <c r="F55" i="4"/>
  <c r="B55" i="4"/>
  <c r="A55" i="4"/>
  <c r="F54" i="4"/>
  <c r="B54" i="4"/>
  <c r="A54" i="4"/>
  <c r="F53" i="4"/>
  <c r="B53" i="4"/>
  <c r="A53" i="4"/>
  <c r="F52" i="4"/>
  <c r="B52" i="4"/>
  <c r="A52" i="4"/>
  <c r="F51" i="4"/>
  <c r="B51" i="4"/>
  <c r="A51" i="4"/>
  <c r="F50" i="4"/>
  <c r="B50" i="4"/>
  <c r="A50" i="4"/>
  <c r="F49" i="4"/>
  <c r="B49" i="4"/>
  <c r="A49" i="4"/>
  <c r="F48" i="4"/>
  <c r="B48" i="4"/>
  <c r="A48" i="4"/>
  <c r="F47" i="4"/>
  <c r="B47" i="4"/>
  <c r="A47" i="4"/>
  <c r="F46" i="4"/>
  <c r="B46" i="4"/>
  <c r="A46" i="4"/>
  <c r="F45" i="4"/>
  <c r="B45" i="4"/>
  <c r="A45" i="4"/>
  <c r="F44" i="4"/>
  <c r="B44" i="4"/>
  <c r="A44" i="4"/>
  <c r="F43" i="4"/>
  <c r="B43" i="4"/>
  <c r="A43" i="4"/>
  <c r="F42" i="4"/>
  <c r="B42" i="4"/>
  <c r="A42" i="4"/>
  <c r="F41" i="4"/>
  <c r="B41" i="4"/>
  <c r="A41" i="4"/>
  <c r="F40" i="4"/>
  <c r="B40" i="4"/>
  <c r="A40" i="4"/>
  <c r="F39" i="4"/>
  <c r="B39" i="4"/>
  <c r="A39" i="4"/>
  <c r="F38" i="4"/>
  <c r="B38" i="4"/>
  <c r="A38" i="4"/>
  <c r="F37" i="4"/>
  <c r="B37" i="4"/>
  <c r="A37" i="4"/>
  <c r="F36" i="4"/>
  <c r="B36" i="4"/>
  <c r="A36" i="4"/>
  <c r="F35" i="4"/>
  <c r="B35" i="4"/>
  <c r="A35" i="4"/>
  <c r="F34" i="4"/>
  <c r="B34" i="4"/>
  <c r="A34" i="4"/>
  <c r="F33" i="4"/>
  <c r="B33" i="4"/>
  <c r="A33" i="4"/>
  <c r="F32" i="4"/>
  <c r="B32" i="4"/>
  <c r="A32" i="4"/>
  <c r="F31" i="4"/>
  <c r="B31" i="4"/>
  <c r="A31" i="4"/>
  <c r="F30" i="4"/>
  <c r="B30" i="4"/>
  <c r="A30" i="4"/>
  <c r="F29" i="4"/>
  <c r="B29" i="4"/>
  <c r="A29" i="4"/>
  <c r="F28" i="4"/>
  <c r="B28" i="4"/>
  <c r="A28" i="4"/>
  <c r="F27" i="4"/>
  <c r="B27" i="4"/>
  <c r="A27" i="4"/>
  <c r="F26" i="4"/>
  <c r="B26" i="4"/>
  <c r="A26" i="4"/>
  <c r="F25" i="4"/>
  <c r="B25" i="4"/>
  <c r="A25" i="4"/>
  <c r="F24" i="4"/>
  <c r="B24" i="4"/>
  <c r="A24" i="4"/>
  <c r="F23" i="4"/>
  <c r="B23" i="4"/>
  <c r="A23" i="4"/>
  <c r="F22" i="4"/>
  <c r="B22" i="4"/>
  <c r="A22" i="4"/>
  <c r="F21" i="4"/>
  <c r="B21" i="4"/>
  <c r="A21" i="4"/>
  <c r="F20" i="4"/>
  <c r="B20" i="4"/>
  <c r="A20" i="4"/>
  <c r="F19" i="4"/>
  <c r="B19" i="4"/>
  <c r="A19" i="4"/>
  <c r="F18" i="4"/>
  <c r="B18" i="4"/>
  <c r="A18" i="4"/>
  <c r="F17" i="4"/>
  <c r="B17" i="4"/>
  <c r="A17" i="4"/>
  <c r="K16" i="4"/>
  <c r="F16" i="4"/>
  <c r="B16" i="4"/>
  <c r="A16" i="4"/>
  <c r="K15" i="4"/>
  <c r="F15" i="4"/>
  <c r="B15" i="4"/>
  <c r="A15" i="4"/>
  <c r="F14" i="4"/>
  <c r="B14" i="4"/>
  <c r="A14" i="4"/>
  <c r="F13" i="4"/>
  <c r="B13" i="4"/>
  <c r="A13" i="4"/>
  <c r="F12" i="4"/>
  <c r="B12" i="4"/>
  <c r="A12" i="4"/>
  <c r="F11" i="4"/>
  <c r="B11" i="4"/>
  <c r="A11" i="4"/>
  <c r="F10" i="4"/>
  <c r="B10" i="4"/>
  <c r="A10" i="4"/>
  <c r="F9" i="4"/>
  <c r="B9" i="4"/>
  <c r="A9" i="4"/>
  <c r="F8" i="4"/>
  <c r="B8" i="4"/>
  <c r="A8" i="4"/>
  <c r="F7" i="4"/>
  <c r="B7" i="4"/>
  <c r="A7" i="4"/>
  <c r="F6" i="4"/>
  <c r="B6" i="4"/>
  <c r="A6" i="4"/>
  <c r="F5" i="4"/>
  <c r="B5" i="4"/>
  <c r="A5" i="4"/>
  <c r="F4" i="4"/>
  <c r="B4" i="4"/>
  <c r="K12" i="4" s="1"/>
  <c r="A4" i="4"/>
  <c r="B12" i="2"/>
  <c r="B11" i="2"/>
  <c r="D4" i="5" l="1"/>
  <c r="E4" i="5"/>
  <c r="F4" i="5" s="1"/>
  <c r="D5" i="5"/>
  <c r="E5" i="5"/>
  <c r="F5" i="5" s="1"/>
  <c r="D6" i="5"/>
  <c r="E6" i="5"/>
  <c r="F6" i="5" s="1"/>
  <c r="D7" i="5"/>
  <c r="E7" i="5"/>
  <c r="F7" i="5" s="1"/>
  <c r="D8" i="5"/>
  <c r="E8" i="5"/>
  <c r="B4" i="6"/>
  <c r="C4" i="6"/>
  <c r="D4" i="6"/>
  <c r="E4" i="6"/>
  <c r="F4" i="6"/>
  <c r="B5" i="6"/>
  <c r="C5" i="6"/>
  <c r="D5" i="6"/>
  <c r="E5" i="6"/>
  <c r="F5" i="6"/>
  <c r="B6" i="6"/>
  <c r="C6" i="6"/>
  <c r="D6" i="6"/>
  <c r="E6" i="6"/>
  <c r="F6" i="6"/>
  <c r="B7" i="6"/>
  <c r="C7" i="6"/>
  <c r="D7" i="6"/>
  <c r="E7" i="6"/>
  <c r="F7" i="6"/>
  <c r="B8" i="6"/>
  <c r="C8" i="6"/>
  <c r="D8" i="6"/>
  <c r="E8" i="6"/>
  <c r="F8" i="6"/>
  <c r="B13" i="2"/>
  <c r="K22" i="4"/>
  <c r="K23" i="4" s="1"/>
  <c r="B14" i="2"/>
  <c r="K17" i="4"/>
  <c r="K18" i="4" s="1"/>
  <c r="K24" i="4" l="1"/>
  <c r="K25" i="4" s="1"/>
  <c r="K26" i="4" s="1"/>
  <c r="K19" i="4"/>
  <c r="K20" i="4" s="1"/>
  <c r="K21" i="4" s="1"/>
  <c r="K27" i="4" s="1"/>
  <c r="G186" i="4"/>
  <c r="G21" i="4"/>
  <c r="G24" i="4"/>
  <c r="G28" i="4"/>
  <c r="G30" i="4"/>
  <c r="G33" i="4"/>
  <c r="G36" i="4"/>
  <c r="G38" i="4"/>
  <c r="G40" i="4"/>
  <c r="G44" i="4"/>
  <c r="G48" i="4"/>
  <c r="G51" i="4"/>
  <c r="G55" i="4"/>
  <c r="G58" i="4"/>
  <c r="G61" i="4"/>
  <c r="G64" i="4"/>
  <c r="G67" i="4"/>
  <c r="G69" i="4"/>
  <c r="G71" i="4"/>
  <c r="G73" i="4"/>
  <c r="G75" i="4"/>
  <c r="G76" i="4"/>
  <c r="G78" i="4"/>
  <c r="G80" i="4"/>
  <c r="G82" i="4"/>
  <c r="G84" i="4"/>
  <c r="G86" i="4"/>
  <c r="G88" i="4"/>
  <c r="G90" i="4"/>
  <c r="G92" i="4"/>
  <c r="G94" i="4"/>
  <c r="G96" i="4"/>
  <c r="G98" i="4"/>
  <c r="G99" i="4"/>
  <c r="G101" i="4"/>
  <c r="G103" i="4"/>
  <c r="G105" i="4"/>
  <c r="G108" i="4"/>
  <c r="G110" i="4"/>
  <c r="G111" i="4"/>
  <c r="G113" i="4"/>
  <c r="G116" i="4"/>
  <c r="G118" i="4"/>
  <c r="G120" i="4"/>
  <c r="G122" i="4"/>
  <c r="G124" i="4"/>
  <c r="G127" i="4"/>
  <c r="G129" i="4"/>
  <c r="G130" i="4"/>
  <c r="G132" i="4"/>
  <c r="G134" i="4"/>
  <c r="G136" i="4"/>
  <c r="G139" i="4"/>
  <c r="G141" i="4"/>
  <c r="G142" i="4"/>
  <c r="G144" i="4"/>
  <c r="G146" i="4"/>
  <c r="G148" i="4"/>
  <c r="G150" i="4"/>
  <c r="G152" i="4"/>
  <c r="G154" i="4"/>
  <c r="G155" i="4"/>
  <c r="G157" i="4"/>
  <c r="G159" i="4"/>
  <c r="G161" i="4"/>
  <c r="G163" i="4"/>
  <c r="G165" i="4"/>
  <c r="G167" i="4"/>
  <c r="G169" i="4"/>
  <c r="G173" i="4"/>
  <c r="G174" i="4"/>
  <c r="G176" i="4"/>
  <c r="G178" i="4"/>
  <c r="G179" i="4"/>
  <c r="G180" i="4"/>
  <c r="G181" i="4"/>
  <c r="G182" i="4"/>
  <c r="G183" i="4"/>
  <c r="G184" i="4"/>
  <c r="G185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18" i="4"/>
  <c r="G20" i="4"/>
  <c r="G23" i="4"/>
  <c r="G26" i="4"/>
  <c r="G29" i="4"/>
  <c r="G32" i="4"/>
  <c r="G35" i="4"/>
  <c r="G39" i="4"/>
  <c r="G42" i="4"/>
  <c r="G45" i="4"/>
  <c r="G46" i="4"/>
  <c r="G49" i="4"/>
  <c r="G53" i="4"/>
  <c r="G56" i="4"/>
  <c r="G59" i="4"/>
  <c r="G62" i="4"/>
  <c r="G63" i="4"/>
  <c r="G65" i="4"/>
  <c r="G66" i="4"/>
  <c r="G68" i="4"/>
  <c r="G70" i="4"/>
  <c r="G72" i="4"/>
  <c r="G74" i="4"/>
  <c r="G77" i="4"/>
  <c r="G79" i="4"/>
  <c r="G81" i="4"/>
  <c r="G83" i="4"/>
  <c r="G85" i="4"/>
  <c r="G87" i="4"/>
  <c r="G89" i="4"/>
  <c r="G91" i="4"/>
  <c r="G93" i="4"/>
  <c r="G95" i="4"/>
  <c r="G97" i="4"/>
  <c r="G100" i="4"/>
  <c r="G102" i="4"/>
  <c r="G104" i="4"/>
  <c r="G106" i="4"/>
  <c r="G107" i="4"/>
  <c r="G109" i="4"/>
  <c r="G112" i="4"/>
  <c r="G114" i="4"/>
  <c r="G115" i="4"/>
  <c r="G117" i="4"/>
  <c r="G119" i="4"/>
  <c r="G121" i="4"/>
  <c r="G123" i="4"/>
  <c r="G125" i="4"/>
  <c r="G126" i="4"/>
  <c r="G128" i="4"/>
  <c r="G131" i="4"/>
  <c r="G133" i="4"/>
  <c r="G135" i="4"/>
  <c r="G137" i="4"/>
  <c r="G138" i="4"/>
  <c r="G140" i="4"/>
  <c r="G143" i="4"/>
  <c r="G145" i="4"/>
  <c r="G147" i="4"/>
  <c r="G149" i="4"/>
  <c r="G151" i="4"/>
  <c r="G153" i="4"/>
  <c r="G156" i="4"/>
  <c r="G158" i="4"/>
  <c r="G160" i="4"/>
  <c r="G162" i="4"/>
  <c r="G164" i="4"/>
  <c r="G166" i="4"/>
  <c r="G168" i="4"/>
  <c r="G170" i="4"/>
  <c r="G171" i="4"/>
  <c r="G172" i="4"/>
  <c r="G175" i="4"/>
  <c r="G177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466" i="4"/>
  <c r="G16" i="4"/>
  <c r="G17" i="4"/>
  <c r="G19" i="4"/>
  <c r="G22" i="4"/>
  <c r="G25" i="4"/>
  <c r="G27" i="4"/>
  <c r="G31" i="4"/>
  <c r="G34" i="4"/>
  <c r="G37" i="4"/>
  <c r="G41" i="4"/>
  <c r="G43" i="4"/>
  <c r="G47" i="4"/>
  <c r="G50" i="4"/>
  <c r="G52" i="4"/>
  <c r="G54" i="4"/>
  <c r="G57" i="4"/>
  <c r="G60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652" i="4"/>
  <c r="G745" i="4"/>
  <c r="G5" i="4"/>
  <c r="G569" i="4"/>
  <c r="G572" i="4"/>
  <c r="G575" i="4"/>
  <c r="G578" i="4"/>
  <c r="G580" i="4"/>
  <c r="G583" i="4"/>
  <c r="G586" i="4"/>
  <c r="G589" i="4"/>
  <c r="G592" i="4"/>
  <c r="G595" i="4"/>
  <c r="G598" i="4"/>
  <c r="G601" i="4"/>
  <c r="G604" i="4"/>
  <c r="G607" i="4"/>
  <c r="G610" i="4"/>
  <c r="G613" i="4"/>
  <c r="G615" i="4"/>
  <c r="G617" i="4"/>
  <c r="G618" i="4"/>
  <c r="G620" i="4"/>
  <c r="G622" i="4"/>
  <c r="G624" i="4"/>
  <c r="G626" i="4"/>
  <c r="G628" i="4"/>
  <c r="G630" i="4"/>
  <c r="G631" i="4"/>
  <c r="G633" i="4"/>
  <c r="G634" i="4"/>
  <c r="G635" i="4"/>
  <c r="G636" i="4"/>
  <c r="G637" i="4"/>
  <c r="G639" i="4"/>
  <c r="G641" i="4"/>
  <c r="G643" i="4"/>
  <c r="G645" i="4"/>
  <c r="G647" i="4"/>
  <c r="G649" i="4"/>
  <c r="G651" i="4"/>
  <c r="G654" i="4"/>
  <c r="G655" i="4"/>
  <c r="G657" i="4"/>
  <c r="G659" i="4"/>
  <c r="G661" i="4"/>
  <c r="G664" i="4"/>
  <c r="G666" i="4"/>
  <c r="G668" i="4"/>
  <c r="G670" i="4"/>
  <c r="G671" i="4"/>
  <c r="G673" i="4"/>
  <c r="G676" i="4"/>
  <c r="G678" i="4"/>
  <c r="G680" i="4"/>
  <c r="G682" i="4"/>
  <c r="G683" i="4"/>
  <c r="G685" i="4"/>
  <c r="G688" i="4"/>
  <c r="G690" i="4"/>
  <c r="G691" i="4"/>
  <c r="G693" i="4"/>
  <c r="G695" i="4"/>
  <c r="G697" i="4"/>
  <c r="G700" i="4"/>
  <c r="G702" i="4"/>
  <c r="G704" i="4"/>
  <c r="G706" i="4"/>
  <c r="G708" i="4"/>
  <c r="G710" i="4"/>
  <c r="G712" i="4"/>
  <c r="G714" i="4"/>
  <c r="G717" i="4"/>
  <c r="G720" i="4"/>
  <c r="G722" i="4"/>
  <c r="G724" i="4"/>
  <c r="G726" i="4"/>
  <c r="G727" i="4"/>
  <c r="G729" i="4"/>
  <c r="G731" i="4"/>
  <c r="G733" i="4"/>
  <c r="G735" i="4"/>
  <c r="G737" i="4"/>
  <c r="G739" i="4"/>
  <c r="G740" i="4"/>
  <c r="G742" i="4"/>
  <c r="G744" i="4"/>
  <c r="G748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4" i="4"/>
  <c r="G6" i="4"/>
  <c r="G7" i="4"/>
  <c r="G8" i="4"/>
  <c r="G9" i="4"/>
  <c r="G10" i="4"/>
  <c r="G11" i="4"/>
  <c r="G12" i="4"/>
  <c r="G13" i="4"/>
  <c r="G14" i="4"/>
  <c r="G15" i="4"/>
  <c r="G560" i="4"/>
  <c r="G562" i="4"/>
  <c r="G565" i="4"/>
  <c r="G567" i="4"/>
  <c r="G571" i="4"/>
  <c r="G574" i="4"/>
  <c r="G577" i="4"/>
  <c r="G581" i="4"/>
  <c r="G584" i="4"/>
  <c r="G587" i="4"/>
  <c r="G591" i="4"/>
  <c r="G594" i="4"/>
  <c r="G597" i="4"/>
  <c r="G600" i="4"/>
  <c r="G603" i="4"/>
  <c r="G606" i="4"/>
  <c r="G609" i="4"/>
  <c r="G611" i="4"/>
  <c r="G614" i="4"/>
  <c r="G616" i="4"/>
  <c r="G619" i="4"/>
  <c r="G621" i="4"/>
  <c r="G623" i="4"/>
  <c r="G625" i="4"/>
  <c r="G627" i="4"/>
  <c r="G629" i="4"/>
  <c r="G632" i="4"/>
  <c r="G638" i="4"/>
  <c r="G640" i="4"/>
  <c r="G642" i="4"/>
  <c r="G644" i="4"/>
  <c r="G646" i="4"/>
  <c r="G648" i="4"/>
  <c r="G650" i="4"/>
  <c r="G653" i="4"/>
  <c r="G656" i="4"/>
  <c r="G658" i="4"/>
  <c r="G660" i="4"/>
  <c r="G662" i="4"/>
  <c r="G663" i="4"/>
  <c r="G665" i="4"/>
  <c r="G667" i="4"/>
  <c r="G669" i="4"/>
  <c r="G672" i="4"/>
  <c r="G674" i="4"/>
  <c r="G675" i="4"/>
  <c r="G677" i="4"/>
  <c r="G679" i="4"/>
  <c r="G681" i="4"/>
  <c r="G684" i="4"/>
  <c r="G686" i="4"/>
  <c r="G687" i="4"/>
  <c r="G689" i="4"/>
  <c r="G692" i="4"/>
  <c r="G694" i="4"/>
  <c r="G696" i="4"/>
  <c r="G698" i="4"/>
  <c r="G699" i="4"/>
  <c r="G701" i="4"/>
  <c r="G703" i="4"/>
  <c r="G705" i="4"/>
  <c r="G707" i="4"/>
  <c r="G709" i="4"/>
  <c r="G711" i="4"/>
  <c r="G713" i="4"/>
  <c r="G715" i="4"/>
  <c r="G716" i="4"/>
  <c r="G718" i="4"/>
  <c r="G719" i="4"/>
  <c r="G721" i="4"/>
  <c r="G723" i="4"/>
  <c r="G725" i="4"/>
  <c r="G728" i="4"/>
  <c r="G730" i="4"/>
  <c r="G732" i="4"/>
  <c r="G734" i="4"/>
  <c r="G736" i="4"/>
  <c r="G738" i="4"/>
  <c r="G741" i="4"/>
  <c r="G743" i="4"/>
  <c r="G746" i="4"/>
  <c r="G747" i="4"/>
  <c r="G749" i="4"/>
  <c r="G750" i="4"/>
  <c r="G751" i="4"/>
  <c r="G752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561" i="4"/>
  <c r="G564" i="4"/>
  <c r="G566" i="4"/>
  <c r="G568" i="4"/>
  <c r="G570" i="4"/>
  <c r="G573" i="4"/>
  <c r="G576" i="4"/>
  <c r="G579" i="4"/>
  <c r="G582" i="4"/>
  <c r="G585" i="4"/>
  <c r="G588" i="4"/>
  <c r="G590" i="4"/>
  <c r="G593" i="4"/>
  <c r="G596" i="4"/>
  <c r="G599" i="4"/>
  <c r="G602" i="4"/>
  <c r="G605" i="4"/>
  <c r="G608" i="4"/>
  <c r="G61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C4" i="4"/>
  <c r="C6" i="4"/>
  <c r="D7" i="4"/>
  <c r="D9" i="4"/>
  <c r="D10" i="4"/>
  <c r="D12" i="4"/>
  <c r="C104" i="4"/>
  <c r="D105" i="4"/>
  <c r="C107" i="4"/>
  <c r="D108" i="4"/>
  <c r="D110" i="4"/>
  <c r="C111" i="4"/>
  <c r="D112" i="4"/>
  <c r="C116" i="4"/>
  <c r="D192" i="4"/>
  <c r="D193" i="4"/>
  <c r="C194" i="4"/>
  <c r="D194" i="4"/>
  <c r="C195" i="4"/>
  <c r="C198" i="4"/>
  <c r="D198" i="4"/>
  <c r="C199" i="4"/>
  <c r="D199" i="4"/>
  <c r="C200" i="4"/>
  <c r="D200" i="4"/>
  <c r="D202" i="4"/>
  <c r="C203" i="4"/>
  <c r="D203" i="4"/>
  <c r="C204" i="4"/>
  <c r="D204" i="4"/>
  <c r="C205" i="4"/>
  <c r="D205" i="4"/>
  <c r="C206" i="4"/>
  <c r="D206" i="4"/>
  <c r="C207" i="4"/>
  <c r="D207" i="4"/>
  <c r="C208" i="4"/>
  <c r="D208" i="4"/>
  <c r="C209" i="4"/>
  <c r="D209" i="4"/>
  <c r="C210" i="4"/>
  <c r="D210" i="4"/>
  <c r="C211" i="4"/>
  <c r="D211" i="4"/>
  <c r="C212" i="4"/>
  <c r="D212" i="4"/>
  <c r="C213" i="4"/>
  <c r="D213" i="4"/>
  <c r="C214" i="4"/>
  <c r="D214" i="4"/>
  <c r="C215" i="4"/>
  <c r="D215" i="4"/>
  <c r="C216" i="4"/>
  <c r="D216" i="4"/>
  <c r="C217" i="4"/>
  <c r="D217" i="4"/>
  <c r="C218" i="4"/>
  <c r="D218" i="4"/>
  <c r="C219" i="4"/>
  <c r="D219" i="4"/>
  <c r="C220" i="4"/>
  <c r="D220" i="4"/>
  <c r="C221" i="4"/>
  <c r="D221" i="4"/>
  <c r="C222" i="4"/>
  <c r="D222" i="4"/>
  <c r="C223" i="4"/>
  <c r="D223" i="4"/>
  <c r="C224" i="4"/>
  <c r="D224" i="4"/>
  <c r="C225" i="4"/>
  <c r="D225" i="4"/>
  <c r="C226" i="4"/>
  <c r="D226" i="4"/>
  <c r="C227" i="4"/>
  <c r="D227" i="4"/>
  <c r="C228" i="4"/>
  <c r="D228" i="4"/>
  <c r="C229" i="4"/>
  <c r="D229" i="4"/>
  <c r="C230" i="4"/>
  <c r="D230" i="4"/>
  <c r="C231" i="4"/>
  <c r="D231" i="4"/>
  <c r="C232" i="4"/>
  <c r="D232" i="4"/>
  <c r="C233" i="4"/>
  <c r="D233" i="4"/>
  <c r="C234" i="4"/>
  <c r="D234" i="4"/>
  <c r="C235" i="4"/>
  <c r="D235" i="4"/>
  <c r="C236" i="4"/>
  <c r="D236" i="4"/>
  <c r="C237" i="4"/>
  <c r="D237" i="4"/>
  <c r="C238" i="4"/>
  <c r="D238" i="4"/>
  <c r="C239" i="4"/>
  <c r="D239" i="4"/>
  <c r="C240" i="4"/>
  <c r="D240" i="4"/>
  <c r="C241" i="4"/>
  <c r="D241" i="4"/>
  <c r="C242" i="4"/>
  <c r="D242" i="4"/>
  <c r="C243" i="4"/>
  <c r="D243" i="4"/>
  <c r="C244" i="4"/>
  <c r="D244" i="4"/>
  <c r="C245" i="4"/>
  <c r="D245" i="4"/>
  <c r="C246" i="4"/>
  <c r="D246" i="4"/>
  <c r="C247" i="4"/>
  <c r="D247" i="4"/>
  <c r="C248" i="4"/>
  <c r="D248" i="4"/>
  <c r="C249" i="4"/>
  <c r="D249" i="4"/>
  <c r="C250" i="4"/>
  <c r="D250" i="4"/>
  <c r="C251" i="4"/>
  <c r="D251" i="4"/>
  <c r="C252" i="4"/>
  <c r="D252" i="4"/>
  <c r="C253" i="4"/>
  <c r="D253" i="4"/>
  <c r="C254" i="4"/>
  <c r="D254" i="4"/>
  <c r="C255" i="4"/>
  <c r="D255" i="4"/>
  <c r="C256" i="4"/>
  <c r="D256" i="4"/>
  <c r="C257" i="4"/>
  <c r="D257" i="4"/>
  <c r="C258" i="4"/>
  <c r="D258" i="4"/>
  <c r="C259" i="4"/>
  <c r="D259" i="4"/>
  <c r="C260" i="4"/>
  <c r="D260" i="4"/>
  <c r="C261" i="4"/>
  <c r="D261" i="4"/>
  <c r="C262" i="4"/>
  <c r="D262" i="4"/>
  <c r="C263" i="4"/>
  <c r="D263" i="4"/>
  <c r="C264" i="4"/>
  <c r="D264" i="4"/>
  <c r="C265" i="4"/>
  <c r="D265" i="4"/>
  <c r="C266" i="4"/>
  <c r="D266" i="4"/>
  <c r="C267" i="4"/>
  <c r="D267" i="4"/>
  <c r="C268" i="4"/>
  <c r="D268" i="4"/>
  <c r="C269" i="4"/>
  <c r="D269" i="4"/>
  <c r="C270" i="4"/>
  <c r="D270" i="4"/>
  <c r="C271" i="4"/>
  <c r="D271" i="4"/>
  <c r="C272" i="4"/>
  <c r="D272" i="4"/>
  <c r="C273" i="4"/>
  <c r="D273" i="4"/>
  <c r="C274" i="4"/>
  <c r="D274" i="4"/>
  <c r="C275" i="4"/>
  <c r="D275" i="4"/>
  <c r="C276" i="4"/>
  <c r="D276" i="4"/>
  <c r="C277" i="4"/>
  <c r="D277" i="4"/>
  <c r="C278" i="4"/>
  <c r="D278" i="4"/>
  <c r="C279" i="4"/>
  <c r="D279" i="4"/>
  <c r="C280" i="4"/>
  <c r="D280" i="4"/>
  <c r="C281" i="4"/>
  <c r="D281" i="4"/>
  <c r="C103" i="4"/>
  <c r="D106" i="4"/>
  <c r="D107" i="4"/>
  <c r="D116" i="4"/>
  <c r="D117" i="4"/>
  <c r="C119" i="4"/>
  <c r="D189" i="4"/>
  <c r="C190" i="4"/>
  <c r="D190" i="4"/>
  <c r="C191" i="4"/>
  <c r="D191" i="4"/>
  <c r="C192" i="4"/>
  <c r="C193" i="4"/>
  <c r="D195" i="4"/>
  <c r="C196" i="4"/>
  <c r="D196" i="4"/>
  <c r="C197" i="4"/>
  <c r="D197" i="4"/>
  <c r="C201" i="4"/>
  <c r="D201" i="4"/>
  <c r="C202" i="4"/>
  <c r="C282" i="4"/>
  <c r="D282" i="4"/>
  <c r="C283" i="4"/>
  <c r="D283" i="4"/>
  <c r="C284" i="4"/>
  <c r="D284" i="4"/>
  <c r="C285" i="4"/>
  <c r="D285" i="4"/>
  <c r="C286" i="4"/>
  <c r="D286" i="4"/>
  <c r="C287" i="4"/>
  <c r="D287" i="4"/>
  <c r="C288" i="4"/>
  <c r="D288" i="4"/>
  <c r="C289" i="4"/>
  <c r="D289" i="4"/>
  <c r="C290" i="4"/>
  <c r="D290" i="4"/>
  <c r="C291" i="4"/>
  <c r="D291" i="4"/>
  <c r="C292" i="4"/>
  <c r="D292" i="4"/>
  <c r="C293" i="4"/>
  <c r="D293" i="4"/>
  <c r="C294" i="4"/>
  <c r="D294" i="4"/>
  <c r="C295" i="4"/>
  <c r="D295" i="4"/>
  <c r="C296" i="4"/>
  <c r="D296" i="4"/>
  <c r="C297" i="4"/>
  <c r="D297" i="4"/>
  <c r="C298" i="4"/>
  <c r="D298" i="4"/>
  <c r="C299" i="4"/>
  <c r="D299" i="4"/>
  <c r="C300" i="4"/>
  <c r="D300" i="4"/>
  <c r="C301" i="4"/>
  <c r="D301" i="4"/>
  <c r="C302" i="4"/>
  <c r="D302" i="4"/>
  <c r="C303" i="4"/>
  <c r="D303" i="4"/>
  <c r="C304" i="4"/>
  <c r="D304" i="4"/>
  <c r="C305" i="4"/>
  <c r="D305" i="4"/>
  <c r="C306" i="4"/>
  <c r="D306" i="4"/>
  <c r="C307" i="4"/>
  <c r="D307" i="4"/>
  <c r="C308" i="4"/>
  <c r="D308" i="4"/>
  <c r="C309" i="4"/>
  <c r="D309" i="4"/>
  <c r="C310" i="4"/>
  <c r="D310" i="4"/>
  <c r="C311" i="4"/>
  <c r="D311" i="4"/>
  <c r="C312" i="4"/>
  <c r="D312" i="4"/>
  <c r="C313" i="4"/>
  <c r="D313" i="4"/>
  <c r="C314" i="4"/>
  <c r="D314" i="4"/>
  <c r="C315" i="4"/>
  <c r="D315" i="4"/>
  <c r="C316" i="4"/>
  <c r="D316" i="4"/>
  <c r="C317" i="4"/>
  <c r="D317" i="4"/>
  <c r="C318" i="4"/>
  <c r="D318" i="4"/>
  <c r="C319" i="4"/>
  <c r="D319" i="4"/>
  <c r="C320" i="4"/>
  <c r="D320" i="4"/>
  <c r="C321" i="4"/>
  <c r="D321" i="4"/>
  <c r="C322" i="4"/>
  <c r="D322" i="4"/>
  <c r="C323" i="4"/>
  <c r="D323" i="4"/>
  <c r="C324" i="4"/>
  <c r="D324" i="4"/>
  <c r="C325" i="4"/>
  <c r="D325" i="4"/>
  <c r="C326" i="4"/>
  <c r="D326" i="4"/>
  <c r="C327" i="4"/>
  <c r="D327" i="4"/>
  <c r="C328" i="4"/>
  <c r="D328" i="4"/>
  <c r="C329" i="4"/>
  <c r="D329" i="4"/>
  <c r="C330" i="4"/>
  <c r="D330" i="4"/>
  <c r="C331" i="4"/>
  <c r="D331" i="4"/>
  <c r="C332" i="4"/>
  <c r="D332" i="4"/>
  <c r="C333" i="4"/>
  <c r="D333" i="4"/>
  <c r="C334" i="4"/>
  <c r="D334" i="4"/>
  <c r="C335" i="4"/>
  <c r="D335" i="4"/>
  <c r="C336" i="4"/>
  <c r="D336" i="4"/>
  <c r="C337" i="4"/>
  <c r="D337" i="4"/>
  <c r="C338" i="4"/>
  <c r="D338" i="4"/>
  <c r="C339" i="4"/>
  <c r="D339" i="4"/>
  <c r="C340" i="4"/>
  <c r="D340" i="4"/>
  <c r="C341" i="4"/>
  <c r="D341" i="4"/>
  <c r="C342" i="4"/>
  <c r="D342" i="4"/>
  <c r="C343" i="4"/>
  <c r="D343" i="4"/>
  <c r="C344" i="4"/>
  <c r="D344" i="4"/>
  <c r="C345" i="4"/>
  <c r="D345" i="4"/>
  <c r="C346" i="4"/>
  <c r="D346" i="4"/>
  <c r="C347" i="4"/>
  <c r="D347" i="4"/>
  <c r="C348" i="4"/>
  <c r="D348" i="4"/>
  <c r="C349" i="4"/>
  <c r="D349" i="4"/>
  <c r="C350" i="4"/>
  <c r="D350" i="4"/>
  <c r="C351" i="4"/>
  <c r="D351" i="4"/>
  <c r="C352" i="4"/>
  <c r="D352" i="4"/>
  <c r="C353" i="4"/>
  <c r="D353" i="4"/>
  <c r="C354" i="4"/>
  <c r="D354" i="4"/>
  <c r="C355" i="4"/>
  <c r="D355" i="4"/>
  <c r="C356" i="4"/>
  <c r="D356" i="4"/>
  <c r="C357" i="4"/>
  <c r="D357" i="4"/>
  <c r="C358" i="4"/>
  <c r="D358" i="4"/>
  <c r="C359" i="4"/>
  <c r="D359" i="4"/>
  <c r="C360" i="4"/>
  <c r="D360" i="4"/>
  <c r="C361" i="4"/>
  <c r="D361" i="4"/>
  <c r="C362" i="4"/>
  <c r="D362" i="4"/>
  <c r="C363" i="4"/>
  <c r="D363" i="4"/>
  <c r="C364" i="4"/>
  <c r="D364" i="4"/>
  <c r="C365" i="4"/>
  <c r="D365" i="4"/>
  <c r="C366" i="4"/>
  <c r="D366" i="4"/>
  <c r="C367" i="4"/>
  <c r="D367" i="4"/>
  <c r="C368" i="4"/>
  <c r="D368" i="4"/>
  <c r="C369" i="4"/>
  <c r="D369" i="4"/>
  <c r="C370" i="4"/>
  <c r="D370" i="4"/>
  <c r="C371" i="4"/>
  <c r="D371" i="4"/>
  <c r="C372" i="4"/>
  <c r="D372" i="4"/>
  <c r="C373" i="4"/>
  <c r="D373" i="4"/>
  <c r="C374" i="4"/>
  <c r="D374" i="4"/>
  <c r="C375" i="4"/>
  <c r="D375" i="4"/>
  <c r="D752" i="4"/>
  <c r="D755" i="4"/>
  <c r="C756" i="4"/>
  <c r="C759" i="4"/>
  <c r="D761" i="4"/>
  <c r="C765" i="4"/>
  <c r="C777" i="4"/>
  <c r="C779" i="4"/>
  <c r="D780" i="4"/>
  <c r="C781" i="4"/>
  <c r="D784" i="4"/>
  <c r="C785" i="4"/>
  <c r="C786" i="4"/>
  <c r="C797" i="4"/>
  <c r="D813" i="4"/>
  <c r="D823" i="4"/>
  <c r="D826" i="4"/>
  <c r="C827" i="4"/>
  <c r="C828" i="4"/>
  <c r="D943" i="4"/>
  <c r="C949" i="4"/>
  <c r="C952" i="4"/>
  <c r="C960" i="4"/>
  <c r="C961" i="4"/>
  <c r="C964" i="4"/>
  <c r="C965" i="4"/>
  <c r="D969" i="4"/>
  <c r="D970" i="4"/>
  <c r="D977" i="4"/>
  <c r="D978" i="4"/>
  <c r="C979" i="4"/>
  <c r="C989" i="4"/>
  <c r="C990" i="4"/>
  <c r="D994" i="4"/>
  <c r="C995" i="4"/>
  <c r="D996" i="4"/>
  <c r="C999" i="4"/>
  <c r="D1004" i="4"/>
  <c r="C1005" i="4"/>
  <c r="D1008" i="4"/>
  <c r="C1009" i="4"/>
  <c r="D1023" i="4"/>
  <c r="C1026" i="4"/>
  <c r="C1035" i="4"/>
  <c r="D1036" i="4"/>
  <c r="D1037" i="4"/>
  <c r="D1044" i="4"/>
  <c r="D1049" i="4"/>
  <c r="C1050" i="4"/>
  <c r="C1051" i="4"/>
  <c r="D1063" i="4"/>
  <c r="C1064" i="4"/>
  <c r="C5" i="4"/>
  <c r="D8" i="4"/>
  <c r="D15" i="4"/>
  <c r="D97" i="4"/>
  <c r="C98" i="4"/>
  <c r="D100" i="4"/>
  <c r="D101" i="4"/>
  <c r="D104" i="4"/>
  <c r="D109" i="4"/>
  <c r="C110" i="4"/>
  <c r="D111" i="4"/>
  <c r="D113" i="4"/>
  <c r="C114" i="4"/>
  <c r="C378" i="4"/>
  <c r="D379" i="4"/>
  <c r="D383" i="4"/>
  <c r="C385" i="4"/>
  <c r="D385" i="4"/>
  <c r="C386" i="4"/>
  <c r="D386" i="4"/>
  <c r="C387" i="4"/>
  <c r="D387" i="4"/>
  <c r="C388" i="4"/>
  <c r="D388" i="4"/>
  <c r="C389" i="4"/>
  <c r="D389" i="4"/>
  <c r="C390" i="4"/>
  <c r="D390" i="4"/>
  <c r="C391" i="4"/>
  <c r="D391" i="4"/>
  <c r="C392" i="4"/>
  <c r="D392" i="4"/>
  <c r="C393" i="4"/>
  <c r="D393" i="4"/>
  <c r="C394" i="4"/>
  <c r="D394" i="4"/>
  <c r="C395" i="4"/>
  <c r="D395" i="4"/>
  <c r="C396" i="4"/>
  <c r="D396" i="4"/>
  <c r="C397" i="4"/>
  <c r="D397" i="4"/>
  <c r="C398" i="4"/>
  <c r="D398" i="4"/>
  <c r="C399" i="4"/>
  <c r="D399" i="4"/>
  <c r="C400" i="4"/>
  <c r="D400" i="4"/>
  <c r="C401" i="4"/>
  <c r="D401" i="4"/>
  <c r="C402" i="4"/>
  <c r="D402" i="4"/>
  <c r="C403" i="4"/>
  <c r="D403" i="4"/>
  <c r="C404" i="4"/>
  <c r="D404" i="4"/>
  <c r="C405" i="4"/>
  <c r="D405" i="4"/>
  <c r="C406" i="4"/>
  <c r="D406" i="4"/>
  <c r="C407" i="4"/>
  <c r="D407" i="4"/>
  <c r="C408" i="4"/>
  <c r="D408" i="4"/>
  <c r="C409" i="4"/>
  <c r="D409" i="4"/>
  <c r="C410" i="4"/>
  <c r="D410" i="4"/>
  <c r="C411" i="4"/>
  <c r="D411" i="4"/>
  <c r="C412" i="4"/>
  <c r="D412" i="4"/>
  <c r="C413" i="4"/>
  <c r="D413" i="4"/>
  <c r="C414" i="4"/>
  <c r="D414" i="4"/>
  <c r="C415" i="4"/>
  <c r="D415" i="4"/>
  <c r="C416" i="4"/>
  <c r="D416" i="4"/>
  <c r="C417" i="4"/>
  <c r="D417" i="4"/>
  <c r="C418" i="4"/>
  <c r="D418" i="4"/>
  <c r="C419" i="4"/>
  <c r="D419" i="4"/>
  <c r="C420" i="4"/>
  <c r="D420" i="4"/>
  <c r="C421" i="4"/>
  <c r="D421" i="4"/>
  <c r="C422" i="4"/>
  <c r="D422" i="4"/>
  <c r="C423" i="4"/>
  <c r="D423" i="4"/>
  <c r="C424" i="4"/>
  <c r="D424" i="4"/>
  <c r="C425" i="4"/>
  <c r="D425" i="4"/>
  <c r="C426" i="4"/>
  <c r="D426" i="4"/>
  <c r="C427" i="4"/>
  <c r="D427" i="4"/>
  <c r="C428" i="4"/>
  <c r="D428" i="4"/>
  <c r="C429" i="4"/>
  <c r="D429" i="4"/>
  <c r="C430" i="4"/>
  <c r="D430" i="4"/>
  <c r="C431" i="4"/>
  <c r="D431" i="4"/>
  <c r="C432" i="4"/>
  <c r="D432" i="4"/>
  <c r="C433" i="4"/>
  <c r="D433" i="4"/>
  <c r="C434" i="4"/>
  <c r="D434" i="4"/>
  <c r="C435" i="4"/>
  <c r="D435" i="4"/>
  <c r="C436" i="4"/>
  <c r="D436" i="4"/>
  <c r="C437" i="4"/>
  <c r="D437" i="4"/>
  <c r="C438" i="4"/>
  <c r="D438" i="4"/>
  <c r="C439" i="4"/>
  <c r="D439" i="4"/>
  <c r="C440" i="4"/>
  <c r="D440" i="4"/>
  <c r="C441" i="4"/>
  <c r="D441" i="4"/>
  <c r="C442" i="4"/>
  <c r="D442" i="4"/>
  <c r="C443" i="4"/>
  <c r="D443" i="4"/>
  <c r="C444" i="4"/>
  <c r="D444" i="4"/>
  <c r="C445" i="4"/>
  <c r="D445" i="4"/>
  <c r="C446" i="4"/>
  <c r="D446" i="4"/>
  <c r="C447" i="4"/>
  <c r="D447" i="4"/>
  <c r="C448" i="4"/>
  <c r="D448" i="4"/>
  <c r="C449" i="4"/>
  <c r="D449" i="4"/>
  <c r="C450" i="4"/>
  <c r="D450" i="4"/>
  <c r="C451" i="4"/>
  <c r="D451" i="4"/>
  <c r="C452" i="4"/>
  <c r="D452" i="4"/>
  <c r="C453" i="4"/>
  <c r="D453" i="4"/>
  <c r="C454" i="4"/>
  <c r="D454" i="4"/>
  <c r="C455" i="4"/>
  <c r="D455" i="4"/>
  <c r="C456" i="4"/>
  <c r="D456" i="4"/>
  <c r="C457" i="4"/>
  <c r="D457" i="4"/>
  <c r="C458" i="4"/>
  <c r="D458" i="4"/>
  <c r="C459" i="4"/>
  <c r="D459" i="4"/>
  <c r="C460" i="4"/>
  <c r="D460" i="4"/>
  <c r="C461" i="4"/>
  <c r="D461" i="4"/>
  <c r="C462" i="4"/>
  <c r="D462" i="4"/>
  <c r="C463" i="4"/>
  <c r="D463" i="4"/>
  <c r="C464" i="4"/>
  <c r="D464" i="4"/>
  <c r="C465" i="4"/>
  <c r="D465" i="4"/>
  <c r="C466" i="4"/>
  <c r="D466" i="4"/>
  <c r="C467" i="4"/>
  <c r="D467" i="4"/>
  <c r="C468" i="4"/>
  <c r="D468" i="4"/>
  <c r="C469" i="4"/>
  <c r="D469" i="4"/>
  <c r="D6" i="4"/>
  <c r="C7" i="4"/>
  <c r="C10" i="4"/>
  <c r="D14" i="4"/>
  <c r="C96" i="4"/>
  <c r="E96" i="4" s="1"/>
  <c r="C99" i="4"/>
  <c r="C113" i="4"/>
  <c r="E113" i="4" s="1"/>
  <c r="D114" i="4"/>
  <c r="D115" i="4"/>
  <c r="D188" i="4"/>
  <c r="D376" i="4"/>
  <c r="C377" i="4"/>
  <c r="C380" i="4"/>
  <c r="C381" i="4"/>
  <c r="D384" i="4"/>
  <c r="D470" i="4"/>
  <c r="C471" i="4"/>
  <c r="D473" i="4"/>
  <c r="D474" i="4"/>
  <c r="C476" i="4"/>
  <c r="C479" i="4"/>
  <c r="C480" i="4"/>
  <c r="D481" i="4"/>
  <c r="C482" i="4"/>
  <c r="C483" i="4"/>
  <c r="D485" i="4"/>
  <c r="D486" i="4"/>
  <c r="C487" i="4"/>
  <c r="D488" i="4"/>
  <c r="C489" i="4"/>
  <c r="D489" i="4"/>
  <c r="C490" i="4"/>
  <c r="D490" i="4"/>
  <c r="C491" i="4"/>
  <c r="D491" i="4"/>
  <c r="C492" i="4"/>
  <c r="D492" i="4"/>
  <c r="C493" i="4"/>
  <c r="D493" i="4"/>
  <c r="C494" i="4"/>
  <c r="D494" i="4"/>
  <c r="C495" i="4"/>
  <c r="D495" i="4"/>
  <c r="C496" i="4"/>
  <c r="D496" i="4"/>
  <c r="C497" i="4"/>
  <c r="D497" i="4"/>
  <c r="C498" i="4"/>
  <c r="D498" i="4"/>
  <c r="C499" i="4"/>
  <c r="D499" i="4"/>
  <c r="C500" i="4"/>
  <c r="D500" i="4"/>
  <c r="C501" i="4"/>
  <c r="D501" i="4"/>
  <c r="C502" i="4"/>
  <c r="D502" i="4"/>
  <c r="C503" i="4"/>
  <c r="D503" i="4"/>
  <c r="C504" i="4"/>
  <c r="D504" i="4"/>
  <c r="C505" i="4"/>
  <c r="D505" i="4"/>
  <c r="C506" i="4"/>
  <c r="D506" i="4"/>
  <c r="C507" i="4"/>
  <c r="D507" i="4"/>
  <c r="C508" i="4"/>
  <c r="D508" i="4"/>
  <c r="C509" i="4"/>
  <c r="D509" i="4"/>
  <c r="C510" i="4"/>
  <c r="D510" i="4"/>
  <c r="C511" i="4"/>
  <c r="D511" i="4"/>
  <c r="C512" i="4"/>
  <c r="D512" i="4"/>
  <c r="C513" i="4"/>
  <c r="D513" i="4"/>
  <c r="C514" i="4"/>
  <c r="D514" i="4"/>
  <c r="C515" i="4"/>
  <c r="D515" i="4"/>
  <c r="C516" i="4"/>
  <c r="D516" i="4"/>
  <c r="C517" i="4"/>
  <c r="D517" i="4"/>
  <c r="C518" i="4"/>
  <c r="D518" i="4"/>
  <c r="C519" i="4"/>
  <c r="D519" i="4"/>
  <c r="C520" i="4"/>
  <c r="D520" i="4"/>
  <c r="C521" i="4"/>
  <c r="D521" i="4"/>
  <c r="C522" i="4"/>
  <c r="D522" i="4"/>
  <c r="C523" i="4"/>
  <c r="D523" i="4"/>
  <c r="C524" i="4"/>
  <c r="D524" i="4"/>
  <c r="C525" i="4"/>
  <c r="D525" i="4"/>
  <c r="C526" i="4"/>
  <c r="D526" i="4"/>
  <c r="C527" i="4"/>
  <c r="D527" i="4"/>
  <c r="C528" i="4"/>
  <c r="D528" i="4"/>
  <c r="C529" i="4"/>
  <c r="D529" i="4"/>
  <c r="C530" i="4"/>
  <c r="D530" i="4"/>
  <c r="C531" i="4"/>
  <c r="D531" i="4"/>
  <c r="C532" i="4"/>
  <c r="D532" i="4"/>
  <c r="C533" i="4"/>
  <c r="D533" i="4"/>
  <c r="C534" i="4"/>
  <c r="D534" i="4"/>
  <c r="C535" i="4"/>
  <c r="D535" i="4"/>
  <c r="C536" i="4"/>
  <c r="D536" i="4"/>
  <c r="C537" i="4"/>
  <c r="D537" i="4"/>
  <c r="C538" i="4"/>
  <c r="D538" i="4"/>
  <c r="C539" i="4"/>
  <c r="D539" i="4"/>
  <c r="C540" i="4"/>
  <c r="D540" i="4"/>
  <c r="C541" i="4"/>
  <c r="D541" i="4"/>
  <c r="C542" i="4"/>
  <c r="D542" i="4"/>
  <c r="C543" i="4"/>
  <c r="D543" i="4"/>
  <c r="C544" i="4"/>
  <c r="D544" i="4"/>
  <c r="C545" i="4"/>
  <c r="D545" i="4"/>
  <c r="C546" i="4"/>
  <c r="D546" i="4"/>
  <c r="C547" i="4"/>
  <c r="D547" i="4"/>
  <c r="C548" i="4"/>
  <c r="D548" i="4"/>
  <c r="C549" i="4"/>
  <c r="D549" i="4"/>
  <c r="C550" i="4"/>
  <c r="D550" i="4"/>
  <c r="C551" i="4"/>
  <c r="D551" i="4"/>
  <c r="C552" i="4"/>
  <c r="D552" i="4"/>
  <c r="C553" i="4"/>
  <c r="D553" i="4"/>
  <c r="C554" i="4"/>
  <c r="D554" i="4"/>
  <c r="C555" i="4"/>
  <c r="D555" i="4"/>
  <c r="C556" i="4"/>
  <c r="D556" i="4"/>
  <c r="C557" i="4"/>
  <c r="D557" i="4"/>
  <c r="C558" i="4"/>
  <c r="D558" i="4"/>
  <c r="C559" i="4"/>
  <c r="D559" i="4"/>
  <c r="C560" i="4"/>
  <c r="D560" i="4"/>
  <c r="C561" i="4"/>
  <c r="D561" i="4"/>
  <c r="C562" i="4"/>
  <c r="D562" i="4"/>
  <c r="C563" i="4"/>
  <c r="D563" i="4"/>
  <c r="C758" i="4"/>
  <c r="E758" i="4" s="1"/>
  <c r="D766" i="4"/>
  <c r="D768" i="4"/>
  <c r="C769" i="4"/>
  <c r="C770" i="4"/>
  <c r="D773" i="4"/>
  <c r="C774" i="4"/>
  <c r="D776" i="4"/>
  <c r="D782" i="4"/>
  <c r="C788" i="4"/>
  <c r="E788" i="4" s="1"/>
  <c r="D789" i="4"/>
  <c r="D794" i="4"/>
  <c r="C795" i="4"/>
  <c r="D798" i="4"/>
  <c r="D803" i="4"/>
  <c r="C804" i="4"/>
  <c r="E804" i="4" s="1"/>
  <c r="D805" i="4"/>
  <c r="C807" i="4"/>
  <c r="E807" i="4" s="1"/>
  <c r="C810" i="4"/>
  <c r="C818" i="4"/>
  <c r="C819" i="4"/>
  <c r="E819" i="4" s="1"/>
  <c r="D821" i="4"/>
  <c r="C826" i="4"/>
  <c r="E826" i="4" s="1"/>
  <c r="D828" i="4"/>
  <c r="C832" i="4"/>
  <c r="C834" i="4"/>
  <c r="E834" i="4" s="1"/>
  <c r="C940" i="4"/>
  <c r="D942" i="4"/>
  <c r="C951" i="4"/>
  <c r="E951" i="4" s="1"/>
  <c r="D952" i="4"/>
  <c r="D953" i="4"/>
  <c r="C955" i="4"/>
  <c r="C957" i="4"/>
  <c r="D961" i="4"/>
  <c r="C962" i="4"/>
  <c r="E962" i="4" s="1"/>
  <c r="D963" i="4"/>
  <c r="C968" i="4"/>
  <c r="E968" i="4" s="1"/>
  <c r="C981" i="4"/>
  <c r="C13" i="4"/>
  <c r="E13" i="4" s="1"/>
  <c r="C95" i="4"/>
  <c r="D99" i="4"/>
  <c r="C100" i="4"/>
  <c r="E100" i="4" s="1"/>
  <c r="C101" i="4"/>
  <c r="E101" i="4" s="1"/>
  <c r="D103" i="4"/>
  <c r="C105" i="4"/>
  <c r="C112" i="4"/>
  <c r="C376" i="4"/>
  <c r="E376" i="4" s="1"/>
  <c r="D378" i="4"/>
  <c r="C379" i="4"/>
  <c r="E379" i="4" s="1"/>
  <c r="D380" i="4"/>
  <c r="D381" i="4"/>
  <c r="D382" i="4"/>
  <c r="C384" i="4"/>
  <c r="E384" i="4" s="1"/>
  <c r="C470" i="4"/>
  <c r="E470" i="4" s="1"/>
  <c r="D471" i="4"/>
  <c r="D472" i="4"/>
  <c r="C473" i="4"/>
  <c r="E473" i="4" s="1"/>
  <c r="C474" i="4"/>
  <c r="E474" i="4" s="1"/>
  <c r="D475" i="4"/>
  <c r="D477" i="4"/>
  <c r="C485" i="4"/>
  <c r="E485" i="4" s="1"/>
  <c r="D487" i="4"/>
  <c r="G563" i="4"/>
  <c r="C565" i="4"/>
  <c r="D565" i="4"/>
  <c r="C566" i="4"/>
  <c r="D566" i="4"/>
  <c r="D567" i="4"/>
  <c r="C568" i="4"/>
  <c r="D568" i="4"/>
  <c r="D569" i="4"/>
  <c r="C571" i="4"/>
  <c r="C572" i="4"/>
  <c r="D574" i="4"/>
  <c r="C576" i="4"/>
  <c r="C577" i="4"/>
  <c r="C578" i="4"/>
  <c r="C579" i="4"/>
  <c r="C580" i="4"/>
  <c r="C581" i="4"/>
  <c r="D581" i="4"/>
  <c r="C582" i="4"/>
  <c r="D582" i="4"/>
  <c r="C583" i="4"/>
  <c r="D583" i="4"/>
  <c r="C584" i="4"/>
  <c r="D584" i="4"/>
  <c r="C585" i="4"/>
  <c r="D585" i="4"/>
  <c r="C586" i="4"/>
  <c r="D586" i="4"/>
  <c r="C587" i="4"/>
  <c r="D587" i="4"/>
  <c r="C588" i="4"/>
  <c r="D588" i="4"/>
  <c r="C589" i="4"/>
  <c r="D589" i="4"/>
  <c r="C590" i="4"/>
  <c r="D590" i="4"/>
  <c r="C591" i="4"/>
  <c r="D591" i="4"/>
  <c r="C592" i="4"/>
  <c r="D592" i="4"/>
  <c r="C593" i="4"/>
  <c r="D593" i="4"/>
  <c r="C594" i="4"/>
  <c r="D594" i="4"/>
  <c r="C595" i="4"/>
  <c r="D595" i="4"/>
  <c r="C596" i="4"/>
  <c r="D596" i="4"/>
  <c r="C597" i="4"/>
  <c r="D597" i="4"/>
  <c r="C598" i="4"/>
  <c r="D598" i="4"/>
  <c r="C599" i="4"/>
  <c r="D599" i="4"/>
  <c r="C600" i="4"/>
  <c r="D600" i="4"/>
  <c r="C601" i="4"/>
  <c r="D601" i="4"/>
  <c r="C602" i="4"/>
  <c r="D602" i="4"/>
  <c r="C603" i="4"/>
  <c r="D603" i="4"/>
  <c r="C604" i="4"/>
  <c r="D604" i="4"/>
  <c r="C605" i="4"/>
  <c r="D605" i="4"/>
  <c r="C606" i="4"/>
  <c r="D606" i="4"/>
  <c r="C607" i="4"/>
  <c r="D607" i="4"/>
  <c r="C608" i="4"/>
  <c r="D608" i="4"/>
  <c r="C609" i="4"/>
  <c r="D609" i="4"/>
  <c r="C610" i="4"/>
  <c r="D610" i="4"/>
  <c r="C611" i="4"/>
  <c r="D611" i="4"/>
  <c r="C612" i="4"/>
  <c r="D612" i="4"/>
  <c r="C613" i="4"/>
  <c r="D613" i="4"/>
  <c r="C614" i="4"/>
  <c r="D614" i="4"/>
  <c r="C615" i="4"/>
  <c r="D615" i="4"/>
  <c r="C616" i="4"/>
  <c r="D616" i="4"/>
  <c r="C617" i="4"/>
  <c r="D617" i="4"/>
  <c r="C618" i="4"/>
  <c r="D618" i="4"/>
  <c r="C619" i="4"/>
  <c r="D619" i="4"/>
  <c r="C620" i="4"/>
  <c r="D620" i="4"/>
  <c r="C621" i="4"/>
  <c r="D621" i="4"/>
  <c r="C622" i="4"/>
  <c r="D622" i="4"/>
  <c r="C623" i="4"/>
  <c r="D623" i="4"/>
  <c r="C624" i="4"/>
  <c r="D624" i="4"/>
  <c r="C625" i="4"/>
  <c r="D625" i="4"/>
  <c r="C626" i="4"/>
  <c r="D626" i="4"/>
  <c r="C627" i="4"/>
  <c r="D627" i="4"/>
  <c r="C628" i="4"/>
  <c r="D628" i="4"/>
  <c r="C629" i="4"/>
  <c r="D629" i="4"/>
  <c r="C630" i="4"/>
  <c r="D630" i="4"/>
  <c r="C631" i="4"/>
  <c r="D631" i="4"/>
  <c r="C632" i="4"/>
  <c r="D632" i="4"/>
  <c r="C633" i="4"/>
  <c r="D633" i="4"/>
  <c r="C634" i="4"/>
  <c r="D634" i="4"/>
  <c r="C635" i="4"/>
  <c r="D635" i="4"/>
  <c r="C636" i="4"/>
  <c r="D636" i="4"/>
  <c r="C637" i="4"/>
  <c r="D637" i="4"/>
  <c r="C638" i="4"/>
  <c r="D638" i="4"/>
  <c r="C639" i="4"/>
  <c r="D639" i="4"/>
  <c r="C640" i="4"/>
  <c r="D640" i="4"/>
  <c r="C641" i="4"/>
  <c r="D641" i="4"/>
  <c r="C642" i="4"/>
  <c r="D642" i="4"/>
  <c r="C643" i="4"/>
  <c r="D643" i="4"/>
  <c r="C644" i="4"/>
  <c r="D644" i="4"/>
  <c r="C645" i="4"/>
  <c r="D645" i="4"/>
  <c r="C646" i="4"/>
  <c r="D646" i="4"/>
  <c r="C647" i="4"/>
  <c r="D647" i="4"/>
  <c r="C648" i="4"/>
  <c r="D648" i="4"/>
  <c r="C649" i="4"/>
  <c r="D649" i="4"/>
  <c r="C650" i="4"/>
  <c r="D650" i="4"/>
  <c r="C651" i="4"/>
  <c r="D651" i="4"/>
  <c r="C652" i="4"/>
  <c r="D652" i="4"/>
  <c r="C653" i="4"/>
  <c r="D653" i="4"/>
  <c r="C654" i="4"/>
  <c r="D654" i="4"/>
  <c r="C655" i="4"/>
  <c r="D655" i="4"/>
  <c r="C656" i="4"/>
  <c r="D656" i="4"/>
  <c r="C657" i="4"/>
  <c r="D657" i="4"/>
  <c r="C754" i="4"/>
  <c r="E754" i="4" s="1"/>
  <c r="D759" i="4"/>
  <c r="C760" i="4"/>
  <c r="E760" i="4" s="1"/>
  <c r="D769" i="4"/>
  <c r="D770" i="4"/>
  <c r="D772" i="4"/>
  <c r="D775" i="4"/>
  <c r="D781" i="4"/>
  <c r="C782" i="4"/>
  <c r="E782" i="4" s="1"/>
  <c r="C789" i="4"/>
  <c r="E789" i="4" s="1"/>
  <c r="D790" i="4"/>
  <c r="D792" i="4"/>
  <c r="D793" i="4"/>
  <c r="C817" i="4"/>
  <c r="E817" i="4" s="1"/>
  <c r="D820" i="4"/>
  <c r="C824" i="4"/>
  <c r="E824" i="4" s="1"/>
  <c r="C825" i="4"/>
  <c r="D835" i="4"/>
  <c r="D940" i="4"/>
  <c r="C943" i="4"/>
  <c r="E943" i="4" s="1"/>
  <c r="D947" i="4"/>
  <c r="C948" i="4"/>
  <c r="E948" i="4" s="1"/>
  <c r="D954" i="4"/>
  <c r="D955" i="4"/>
  <c r="D960" i="4"/>
  <c r="D966" i="4"/>
  <c r="C967" i="4"/>
  <c r="C973" i="4"/>
  <c r="E973" i="4" s="1"/>
  <c r="C980" i="4"/>
  <c r="E980" i="4" s="1"/>
  <c r="C983" i="4"/>
  <c r="E983" i="4" s="1"/>
  <c r="D984" i="4"/>
  <c r="C985" i="4"/>
  <c r="E985" i="4" s="1"/>
  <c r="C988" i="4"/>
  <c r="E988" i="4" s="1"/>
  <c r="D4" i="4"/>
  <c r="D5" i="4"/>
  <c r="C11" i="4"/>
  <c r="E11" i="4" s="1"/>
  <c r="C12" i="4"/>
  <c r="C14" i="4"/>
  <c r="E14" i="4" s="1"/>
  <c r="C15" i="4"/>
  <c r="E15" i="4" s="1"/>
  <c r="D95" i="4"/>
  <c r="D102" i="4"/>
  <c r="C117" i="4"/>
  <c r="E117" i="4" s="1"/>
  <c r="C118" i="4"/>
  <c r="E118" i="4" s="1"/>
  <c r="C189" i="4"/>
  <c r="E189" i="4" s="1"/>
  <c r="D377" i="4"/>
  <c r="C382" i="4"/>
  <c r="E382" i="4" s="1"/>
  <c r="C383" i="4"/>
  <c r="E383" i="4" s="1"/>
  <c r="C472" i="4"/>
  <c r="E472" i="4" s="1"/>
  <c r="C475" i="4"/>
  <c r="E475" i="4" s="1"/>
  <c r="D476" i="4"/>
  <c r="C477" i="4"/>
  <c r="E477" i="4" s="1"/>
  <c r="C478" i="4"/>
  <c r="D478" i="4"/>
  <c r="D479" i="4"/>
  <c r="D480" i="4"/>
  <c r="C481" i="4"/>
  <c r="E481" i="4" s="1"/>
  <c r="D482" i="4"/>
  <c r="D483" i="4"/>
  <c r="C484" i="4"/>
  <c r="D484" i="4"/>
  <c r="C486" i="4"/>
  <c r="E486" i="4" s="1"/>
  <c r="C488" i="4"/>
  <c r="E488" i="4" s="1"/>
  <c r="C564" i="4"/>
  <c r="D564" i="4"/>
  <c r="C567" i="4"/>
  <c r="E567" i="4" s="1"/>
  <c r="C569" i="4"/>
  <c r="E569" i="4" s="1"/>
  <c r="C570" i="4"/>
  <c r="D570" i="4"/>
  <c r="D571" i="4"/>
  <c r="D572" i="4"/>
  <c r="C573" i="4"/>
  <c r="D573" i="4"/>
  <c r="C574" i="4"/>
  <c r="E574" i="4" s="1"/>
  <c r="C575" i="4"/>
  <c r="D575" i="4"/>
  <c r="D576" i="4"/>
  <c r="D577" i="4"/>
  <c r="D578" i="4"/>
  <c r="D579" i="4"/>
  <c r="D580" i="4"/>
  <c r="C658" i="4"/>
  <c r="D658" i="4"/>
  <c r="C659" i="4"/>
  <c r="D659" i="4"/>
  <c r="C660" i="4"/>
  <c r="D660" i="4"/>
  <c r="C661" i="4"/>
  <c r="D661" i="4"/>
  <c r="C662" i="4"/>
  <c r="D662" i="4"/>
  <c r="C663" i="4"/>
  <c r="D663" i="4"/>
  <c r="C664" i="4"/>
  <c r="D664" i="4"/>
  <c r="C665" i="4"/>
  <c r="D665" i="4"/>
  <c r="C666" i="4"/>
  <c r="D666" i="4"/>
  <c r="C667" i="4"/>
  <c r="D667" i="4"/>
  <c r="C668" i="4"/>
  <c r="D668" i="4"/>
  <c r="C669" i="4"/>
  <c r="D669" i="4"/>
  <c r="C670" i="4"/>
  <c r="D670" i="4"/>
  <c r="C671" i="4"/>
  <c r="D671" i="4"/>
  <c r="C672" i="4"/>
  <c r="D672" i="4"/>
  <c r="C673" i="4"/>
  <c r="D673" i="4"/>
  <c r="C674" i="4"/>
  <c r="D674" i="4"/>
  <c r="C675" i="4"/>
  <c r="D675" i="4"/>
  <c r="C676" i="4"/>
  <c r="D676" i="4"/>
  <c r="C677" i="4"/>
  <c r="D677" i="4"/>
  <c r="C678" i="4"/>
  <c r="D678" i="4"/>
  <c r="C679" i="4"/>
  <c r="D679" i="4"/>
  <c r="C680" i="4"/>
  <c r="D680" i="4"/>
  <c r="C681" i="4"/>
  <c r="D681" i="4"/>
  <c r="C682" i="4"/>
  <c r="D682" i="4"/>
  <c r="C683" i="4"/>
  <c r="D683" i="4"/>
  <c r="C684" i="4"/>
  <c r="D684" i="4"/>
  <c r="C685" i="4"/>
  <c r="D685" i="4"/>
  <c r="C686" i="4"/>
  <c r="D686" i="4"/>
  <c r="C687" i="4"/>
  <c r="D687" i="4"/>
  <c r="C688" i="4"/>
  <c r="D688" i="4"/>
  <c r="C689" i="4"/>
  <c r="D689" i="4"/>
  <c r="C690" i="4"/>
  <c r="D690" i="4"/>
  <c r="C691" i="4"/>
  <c r="D691" i="4"/>
  <c r="C692" i="4"/>
  <c r="D692" i="4"/>
  <c r="C693" i="4"/>
  <c r="D693" i="4"/>
  <c r="C694" i="4"/>
  <c r="D694" i="4"/>
  <c r="C695" i="4"/>
  <c r="D695" i="4"/>
  <c r="C696" i="4"/>
  <c r="D696" i="4"/>
  <c r="C697" i="4"/>
  <c r="D697" i="4"/>
  <c r="C698" i="4"/>
  <c r="D698" i="4"/>
  <c r="C699" i="4"/>
  <c r="D699" i="4"/>
  <c r="C700" i="4"/>
  <c r="D700" i="4"/>
  <c r="C701" i="4"/>
  <c r="D701" i="4"/>
  <c r="C702" i="4"/>
  <c r="D702" i="4"/>
  <c r="C703" i="4"/>
  <c r="D703" i="4"/>
  <c r="C704" i="4"/>
  <c r="D704" i="4"/>
  <c r="C705" i="4"/>
  <c r="D705" i="4"/>
  <c r="C706" i="4"/>
  <c r="D706" i="4"/>
  <c r="C707" i="4"/>
  <c r="D707" i="4"/>
  <c r="C708" i="4"/>
  <c r="D708" i="4"/>
  <c r="C709" i="4"/>
  <c r="D709" i="4"/>
  <c r="C710" i="4"/>
  <c r="D710" i="4"/>
  <c r="C711" i="4"/>
  <c r="D711" i="4"/>
  <c r="C712" i="4"/>
  <c r="D712" i="4"/>
  <c r="C713" i="4"/>
  <c r="D713" i="4"/>
  <c r="C714" i="4"/>
  <c r="D714" i="4"/>
  <c r="C715" i="4"/>
  <c r="D715" i="4"/>
  <c r="C716" i="4"/>
  <c r="D716" i="4"/>
  <c r="C717" i="4"/>
  <c r="D717" i="4"/>
  <c r="C718" i="4"/>
  <c r="D718" i="4"/>
  <c r="C719" i="4"/>
  <c r="D719" i="4"/>
  <c r="C720" i="4"/>
  <c r="D720" i="4"/>
  <c r="C721" i="4"/>
  <c r="D721" i="4"/>
  <c r="C722" i="4"/>
  <c r="D722" i="4"/>
  <c r="C723" i="4"/>
  <c r="D723" i="4"/>
  <c r="C724" i="4"/>
  <c r="D724" i="4"/>
  <c r="C725" i="4"/>
  <c r="D725" i="4"/>
  <c r="C726" i="4"/>
  <c r="D726" i="4"/>
  <c r="C727" i="4"/>
  <c r="D727" i="4"/>
  <c r="C728" i="4"/>
  <c r="D728" i="4"/>
  <c r="C729" i="4"/>
  <c r="D729" i="4"/>
  <c r="C730" i="4"/>
  <c r="D730" i="4"/>
  <c r="C731" i="4"/>
  <c r="D731" i="4"/>
  <c r="C732" i="4"/>
  <c r="D732" i="4"/>
  <c r="C733" i="4"/>
  <c r="D733" i="4"/>
  <c r="C734" i="4"/>
  <c r="D734" i="4"/>
  <c r="C735" i="4"/>
  <c r="D735" i="4"/>
  <c r="C736" i="4"/>
  <c r="D736" i="4"/>
  <c r="C737" i="4"/>
  <c r="D737" i="4"/>
  <c r="C738" i="4"/>
  <c r="D738" i="4"/>
  <c r="C739" i="4"/>
  <c r="D739" i="4"/>
  <c r="C740" i="4"/>
  <c r="D740" i="4"/>
  <c r="C741" i="4"/>
  <c r="D741" i="4"/>
  <c r="C742" i="4"/>
  <c r="D742" i="4"/>
  <c r="C743" i="4"/>
  <c r="D743" i="4"/>
  <c r="C744" i="4"/>
  <c r="D744" i="4"/>
  <c r="C745" i="4"/>
  <c r="D745" i="4"/>
  <c r="C746" i="4"/>
  <c r="D746" i="4"/>
  <c r="C747" i="4"/>
  <c r="D747" i="4"/>
  <c r="C748" i="4"/>
  <c r="D748" i="4"/>
  <c r="C749" i="4"/>
  <c r="D749" i="4"/>
  <c r="C750" i="4"/>
  <c r="D750" i="4"/>
  <c r="C751" i="4"/>
  <c r="D751" i="4"/>
  <c r="C753" i="4"/>
  <c r="E753" i="4" s="1"/>
  <c r="C757" i="4"/>
  <c r="C761" i="4"/>
  <c r="E761" i="4" s="1"/>
  <c r="C763" i="4"/>
  <c r="E763" i="4" s="1"/>
  <c r="D767" i="4"/>
  <c r="D771" i="4"/>
  <c r="C772" i="4"/>
  <c r="E772" i="4" s="1"/>
  <c r="D777" i="4"/>
  <c r="C778" i="4"/>
  <c r="D779" i="4"/>
  <c r="C802" i="4"/>
  <c r="E802" i="4" s="1"/>
  <c r="C812" i="4"/>
  <c r="C813" i="4"/>
  <c r="E813" i="4" s="1"/>
  <c r="C814" i="4"/>
  <c r="D815" i="4"/>
  <c r="D832" i="4"/>
  <c r="C836" i="4"/>
  <c r="D836" i="4"/>
  <c r="C837" i="4"/>
  <c r="D837" i="4"/>
  <c r="C838" i="4"/>
  <c r="D838" i="4"/>
  <c r="C839" i="4"/>
  <c r="D839" i="4"/>
  <c r="C840" i="4"/>
  <c r="D840" i="4"/>
  <c r="C841" i="4"/>
  <c r="D841" i="4"/>
  <c r="C842" i="4"/>
  <c r="D842" i="4"/>
  <c r="C843" i="4"/>
  <c r="D843" i="4"/>
  <c r="C844" i="4"/>
  <c r="D844" i="4"/>
  <c r="C845" i="4"/>
  <c r="D757" i="4"/>
  <c r="D762" i="4"/>
  <c r="C776" i="4"/>
  <c r="E776" i="4" s="1"/>
  <c r="D785" i="4"/>
  <c r="C792" i="4"/>
  <c r="E792" i="4" s="1"/>
  <c r="C796" i="4"/>
  <c r="D799" i="4"/>
  <c r="D810" i="4"/>
  <c r="D812" i="4"/>
  <c r="D818" i="4"/>
  <c r="D845" i="4"/>
  <c r="C846" i="4"/>
  <c r="D846" i="4"/>
  <c r="C847" i="4"/>
  <c r="D847" i="4"/>
  <c r="C848" i="4"/>
  <c r="D848" i="4"/>
  <c r="C849" i="4"/>
  <c r="D849" i="4"/>
  <c r="C850" i="4"/>
  <c r="D850" i="4"/>
  <c r="C851" i="4"/>
  <c r="D851" i="4"/>
  <c r="C852" i="4"/>
  <c r="D852" i="4"/>
  <c r="C853" i="4"/>
  <c r="D853" i="4"/>
  <c r="C854" i="4"/>
  <c r="D854" i="4"/>
  <c r="C855" i="4"/>
  <c r="D855" i="4"/>
  <c r="C856" i="4"/>
  <c r="D856" i="4"/>
  <c r="C857" i="4"/>
  <c r="D857" i="4"/>
  <c r="C858" i="4"/>
  <c r="D858" i="4"/>
  <c r="C859" i="4"/>
  <c r="D859" i="4"/>
  <c r="C860" i="4"/>
  <c r="D860" i="4"/>
  <c r="C861" i="4"/>
  <c r="D861" i="4"/>
  <c r="C862" i="4"/>
  <c r="D862" i="4"/>
  <c r="C863" i="4"/>
  <c r="D863" i="4"/>
  <c r="C864" i="4"/>
  <c r="D864" i="4"/>
  <c r="C865" i="4"/>
  <c r="D865" i="4"/>
  <c r="C866" i="4"/>
  <c r="D866" i="4"/>
  <c r="C867" i="4"/>
  <c r="D867" i="4"/>
  <c r="C868" i="4"/>
  <c r="D868" i="4"/>
  <c r="C869" i="4"/>
  <c r="D869" i="4"/>
  <c r="C870" i="4"/>
  <c r="D870" i="4"/>
  <c r="C871" i="4"/>
  <c r="D871" i="4"/>
  <c r="C872" i="4"/>
  <c r="D872" i="4"/>
  <c r="C873" i="4"/>
  <c r="D873" i="4"/>
  <c r="C874" i="4"/>
  <c r="D874" i="4"/>
  <c r="C875" i="4"/>
  <c r="D875" i="4"/>
  <c r="C876" i="4"/>
  <c r="D876" i="4"/>
  <c r="C877" i="4"/>
  <c r="D877" i="4"/>
  <c r="C878" i="4"/>
  <c r="D878" i="4"/>
  <c r="C879" i="4"/>
  <c r="D879" i="4"/>
  <c r="C880" i="4"/>
  <c r="D880" i="4"/>
  <c r="C881" i="4"/>
  <c r="D881" i="4"/>
  <c r="C882" i="4"/>
  <c r="D882" i="4"/>
  <c r="C883" i="4"/>
  <c r="D883" i="4"/>
  <c r="C884" i="4"/>
  <c r="D884" i="4"/>
  <c r="C885" i="4"/>
  <c r="D885" i="4"/>
  <c r="C886" i="4"/>
  <c r="D886" i="4"/>
  <c r="C887" i="4"/>
  <c r="D887" i="4"/>
  <c r="C888" i="4"/>
  <c r="D888" i="4"/>
  <c r="C889" i="4"/>
  <c r="D889" i="4"/>
  <c r="C890" i="4"/>
  <c r="D890" i="4"/>
  <c r="C891" i="4"/>
  <c r="D891" i="4"/>
  <c r="C892" i="4"/>
  <c r="D892" i="4"/>
  <c r="C893" i="4"/>
  <c r="D893" i="4"/>
  <c r="C894" i="4"/>
  <c r="D894" i="4"/>
  <c r="C895" i="4"/>
  <c r="D895" i="4"/>
  <c r="C896" i="4"/>
  <c r="D896" i="4"/>
  <c r="C897" i="4"/>
  <c r="D897" i="4"/>
  <c r="C898" i="4"/>
  <c r="D898" i="4"/>
  <c r="C899" i="4"/>
  <c r="D899" i="4"/>
  <c r="C900" i="4"/>
  <c r="D900" i="4"/>
  <c r="C901" i="4"/>
  <c r="D901" i="4"/>
  <c r="C902" i="4"/>
  <c r="D902" i="4"/>
  <c r="C903" i="4"/>
  <c r="D903" i="4"/>
  <c r="C904" i="4"/>
  <c r="D904" i="4"/>
  <c r="C905" i="4"/>
  <c r="D905" i="4"/>
  <c r="C906" i="4"/>
  <c r="D906" i="4"/>
  <c r="C907" i="4"/>
  <c r="D907" i="4"/>
  <c r="C908" i="4"/>
  <c r="D908" i="4"/>
  <c r="C909" i="4"/>
  <c r="D909" i="4"/>
  <c r="C910" i="4"/>
  <c r="D910" i="4"/>
  <c r="C911" i="4"/>
  <c r="D911" i="4"/>
  <c r="C912" i="4"/>
  <c r="D912" i="4"/>
  <c r="C913" i="4"/>
  <c r="D913" i="4"/>
  <c r="C914" i="4"/>
  <c r="D914" i="4"/>
  <c r="C915" i="4"/>
  <c r="D915" i="4"/>
  <c r="C916" i="4"/>
  <c r="D916" i="4"/>
  <c r="C917" i="4"/>
  <c r="D917" i="4"/>
  <c r="C918" i="4"/>
  <c r="D918" i="4"/>
  <c r="C919" i="4"/>
  <c r="D919" i="4"/>
  <c r="C920" i="4"/>
  <c r="D920" i="4"/>
  <c r="C921" i="4"/>
  <c r="D921" i="4"/>
  <c r="C922" i="4"/>
  <c r="D922" i="4"/>
  <c r="C923" i="4"/>
  <c r="D923" i="4"/>
  <c r="C924" i="4"/>
  <c r="D924" i="4"/>
  <c r="C925" i="4"/>
  <c r="D925" i="4"/>
  <c r="C926" i="4"/>
  <c r="D926" i="4"/>
  <c r="C927" i="4"/>
  <c r="D927" i="4"/>
  <c r="C928" i="4"/>
  <c r="D928" i="4"/>
  <c r="C929" i="4"/>
  <c r="D929" i="4"/>
  <c r="C930" i="4"/>
  <c r="D930" i="4"/>
  <c r="C931" i="4"/>
  <c r="D931" i="4"/>
  <c r="C932" i="4"/>
  <c r="D932" i="4"/>
  <c r="C933" i="4"/>
  <c r="D933" i="4"/>
  <c r="C934" i="4"/>
  <c r="D934" i="4"/>
  <c r="C935" i="4"/>
  <c r="D935" i="4"/>
  <c r="C936" i="4"/>
  <c r="D936" i="4"/>
  <c r="C937" i="4"/>
  <c r="D937" i="4"/>
  <c r="C938" i="4"/>
  <c r="D938" i="4"/>
  <c r="D764" i="4"/>
  <c r="D774" i="4"/>
  <c r="D795" i="4"/>
  <c r="D796" i="4"/>
  <c r="D801" i="4"/>
  <c r="C803" i="4"/>
  <c r="C805" i="4"/>
  <c r="C806" i="4"/>
  <c r="E806" i="4" s="1"/>
  <c r="D809" i="4"/>
  <c r="C821" i="4"/>
  <c r="D831" i="4"/>
  <c r="D939" i="4"/>
  <c r="D945" i="4"/>
  <c r="D946" i="4"/>
  <c r="C950" i="4"/>
  <c r="D957" i="4"/>
  <c r="C963" i="4"/>
  <c r="C966" i="4"/>
  <c r="D967" i="4"/>
  <c r="D974" i="4"/>
  <c r="D975" i="4"/>
  <c r="D976" i="4"/>
  <c r="C977" i="4"/>
  <c r="D981" i="4"/>
  <c r="C986" i="4"/>
  <c r="E986" i="4" s="1"/>
  <c r="C987" i="4"/>
  <c r="D993" i="4"/>
  <c r="D995" i="4"/>
  <c r="C996" i="4"/>
  <c r="D997" i="4"/>
  <c r="C998" i="4"/>
  <c r="D998" i="4"/>
  <c r="C1002" i="4"/>
  <c r="C1011" i="4"/>
  <c r="D1012" i="4"/>
  <c r="D1013" i="4"/>
  <c r="D1015" i="4"/>
  <c r="D1016" i="4"/>
  <c r="D1020" i="4"/>
  <c r="C1024" i="4"/>
  <c r="C1029" i="4"/>
  <c r="D1029" i="4"/>
  <c r="C1030" i="4"/>
  <c r="D1030" i="4"/>
  <c r="C1031" i="4"/>
  <c r="D1031" i="4"/>
  <c r="C1032" i="4"/>
  <c r="D1032" i="4"/>
  <c r="C752" i="4"/>
  <c r="C762" i="4"/>
  <c r="C771" i="4"/>
  <c r="C775" i="4"/>
  <c r="D778" i="4"/>
  <c r="D783" i="4"/>
  <c r="C784" i="4"/>
  <c r="C791" i="4"/>
  <c r="C794" i="4"/>
  <c r="C800" i="4"/>
  <c r="C809" i="4"/>
  <c r="E809" i="4" s="1"/>
  <c r="D814" i="4"/>
  <c r="D825" i="4"/>
  <c r="C829" i="4"/>
  <c r="E829" i="4" s="1"/>
  <c r="D833" i="4"/>
  <c r="C939" i="4"/>
  <c r="E939" i="4" s="1"/>
  <c r="D944" i="4"/>
  <c r="C945" i="4"/>
  <c r="E945" i="4" s="1"/>
  <c r="C947" i="4"/>
  <c r="C956" i="4"/>
  <c r="E956" i="4" s="1"/>
  <c r="D959" i="4"/>
  <c r="D964" i="4"/>
  <c r="D965" i="4"/>
  <c r="C971" i="4"/>
  <c r="E971" i="4" s="1"/>
  <c r="D972" i="4"/>
  <c r="D989" i="4"/>
  <c r="C991" i="4"/>
  <c r="D992" i="4"/>
  <c r="C993" i="4"/>
  <c r="E993" i="4" s="1"/>
  <c r="C994" i="4"/>
  <c r="D1000" i="4"/>
  <c r="D1002" i="4"/>
  <c r="C1004" i="4"/>
  <c r="D1005" i="4"/>
  <c r="D1010" i="4"/>
  <c r="D1011" i="4"/>
  <c r="C1012" i="4"/>
  <c r="E1012" i="4" s="1"/>
  <c r="C1016" i="4"/>
  <c r="E1016" i="4" s="1"/>
  <c r="C1017" i="4"/>
  <c r="C1020" i="4"/>
  <c r="E1020" i="4" s="1"/>
  <c r="D1024" i="4"/>
  <c r="C1025" i="4"/>
  <c r="E1025" i="4" s="1"/>
  <c r="D1026" i="4"/>
  <c r="C1027" i="4"/>
  <c r="E1027" i="4" s="1"/>
  <c r="C1028" i="4"/>
  <c r="E1028" i="4" s="1"/>
  <c r="C1033" i="4"/>
  <c r="E1033" i="4" s="1"/>
  <c r="D1034" i="4"/>
  <c r="D1035" i="4"/>
  <c r="C1037" i="4"/>
  <c r="C1038" i="4"/>
  <c r="E1038" i="4" s="1"/>
  <c r="D1039" i="4"/>
  <c r="C1041" i="4"/>
  <c r="D1043" i="4"/>
  <c r="C1045" i="4"/>
  <c r="D1054" i="4"/>
  <c r="C1056" i="4"/>
  <c r="D1057" i="4"/>
  <c r="C1058" i="4"/>
  <c r="D1059" i="4"/>
  <c r="C1060" i="4"/>
  <c r="C1061" i="4"/>
  <c r="C1063" i="4"/>
  <c r="D1064" i="4"/>
  <c r="C1065" i="4"/>
  <c r="D1065" i="4"/>
  <c r="C1066" i="4"/>
  <c r="D1066" i="4"/>
  <c r="C1067" i="4"/>
  <c r="D1067" i="4"/>
  <c r="C1068" i="4"/>
  <c r="D1068" i="4"/>
  <c r="C1069" i="4"/>
  <c r="D1069" i="4"/>
  <c r="C1070" i="4"/>
  <c r="D1070" i="4"/>
  <c r="C1071" i="4"/>
  <c r="D1071" i="4"/>
  <c r="C1072" i="4"/>
  <c r="D1072" i="4"/>
  <c r="C1073" i="4"/>
  <c r="D1073" i="4"/>
  <c r="C1074" i="4"/>
  <c r="D1074" i="4"/>
  <c r="C1075" i="4"/>
  <c r="D1075" i="4"/>
  <c r="C1076" i="4"/>
  <c r="D1076" i="4"/>
  <c r="C1077" i="4"/>
  <c r="D1077" i="4"/>
  <c r="C1078" i="4"/>
  <c r="D1078" i="4"/>
  <c r="C1079" i="4"/>
  <c r="D1079" i="4"/>
  <c r="C1080" i="4"/>
  <c r="D1080" i="4"/>
  <c r="C1081" i="4"/>
  <c r="D1081" i="4"/>
  <c r="C1082" i="4"/>
  <c r="D1082" i="4"/>
  <c r="C1083" i="4"/>
  <c r="D1083" i="4"/>
  <c r="C1084" i="4"/>
  <c r="D1084" i="4"/>
  <c r="C1085" i="4"/>
  <c r="D1085" i="4"/>
  <c r="C1086" i="4"/>
  <c r="D1086" i="4"/>
  <c r="C1087" i="4"/>
  <c r="D1087" i="4"/>
  <c r="C1088" i="4"/>
  <c r="D1088" i="4"/>
  <c r="C1089" i="4"/>
  <c r="D1089" i="4"/>
  <c r="C1090" i="4"/>
  <c r="D1090" i="4"/>
  <c r="C1091" i="4"/>
  <c r="D1091" i="4"/>
  <c r="C1092" i="4"/>
  <c r="D1092" i="4"/>
  <c r="C1093" i="4"/>
  <c r="D1093" i="4"/>
  <c r="C1094" i="4"/>
  <c r="D1094" i="4"/>
  <c r="C1095" i="4"/>
  <c r="D1095" i="4"/>
  <c r="C1096" i="4"/>
  <c r="D1096" i="4"/>
  <c r="C1097" i="4"/>
  <c r="D1097" i="4"/>
  <c r="C1098" i="4"/>
  <c r="D1098" i="4"/>
  <c r="C1099" i="4"/>
  <c r="D1099" i="4"/>
  <c r="C1100" i="4"/>
  <c r="D1100" i="4"/>
  <c r="C1101" i="4"/>
  <c r="D1101" i="4"/>
  <c r="C1102" i="4"/>
  <c r="D1102" i="4"/>
  <c r="C1103" i="4"/>
  <c r="D1103" i="4"/>
  <c r="C1104" i="4"/>
  <c r="D1104" i="4"/>
  <c r="C1105" i="4"/>
  <c r="D1105" i="4"/>
  <c r="C1106" i="4"/>
  <c r="D1106" i="4"/>
  <c r="C1107" i="4"/>
  <c r="D1107" i="4"/>
  <c r="C1108" i="4"/>
  <c r="D1108" i="4"/>
  <c r="C1109" i="4"/>
  <c r="D1109" i="4"/>
  <c r="C1110" i="4"/>
  <c r="D1110" i="4"/>
  <c r="C1111" i="4"/>
  <c r="D1111" i="4"/>
  <c r="C1112" i="4"/>
  <c r="D1112" i="4"/>
  <c r="C1113" i="4"/>
  <c r="D1113" i="4"/>
  <c r="C1114" i="4"/>
  <c r="D1114" i="4"/>
  <c r="C1115" i="4"/>
  <c r="D1115" i="4"/>
  <c r="C1116" i="4"/>
  <c r="D1116" i="4"/>
  <c r="C1117" i="4"/>
  <c r="D1117" i="4"/>
  <c r="C1118" i="4"/>
  <c r="D1118" i="4"/>
  <c r="B4" i="7"/>
  <c r="C4" i="7" s="1"/>
  <c r="B5" i="7"/>
  <c r="C5" i="7" s="1"/>
  <c r="B6" i="7"/>
  <c r="C6" i="7" s="1"/>
  <c r="D754" i="4"/>
  <c r="C755" i="4"/>
  <c r="D758" i="4"/>
  <c r="D760" i="4"/>
  <c r="C766" i="4"/>
  <c r="C767" i="4"/>
  <c r="C780" i="4"/>
  <c r="D791" i="4"/>
  <c r="D797" i="4"/>
  <c r="C798" i="4"/>
  <c r="C799" i="4"/>
  <c r="D800" i="4"/>
  <c r="C801" i="4"/>
  <c r="C808" i="4"/>
  <c r="D811" i="4"/>
  <c r="C815" i="4"/>
  <c r="D824" i="4"/>
  <c r="D827" i="4"/>
  <c r="D830" i="4"/>
  <c r="C831" i="4"/>
  <c r="C835" i="4"/>
  <c r="C941" i="4"/>
  <c r="D948" i="4"/>
  <c r="D949" i="4"/>
  <c r="D950" i="4"/>
  <c r="C953" i="4"/>
  <c r="C958" i="4"/>
  <c r="C959" i="4"/>
  <c r="C969" i="4"/>
  <c r="D973" i="4"/>
  <c r="C974" i="4"/>
  <c r="C975" i="4"/>
  <c r="C976" i="4"/>
  <c r="D982" i="4"/>
  <c r="D983" i="4"/>
  <c r="D985" i="4"/>
  <c r="D987" i="4"/>
  <c r="D990" i="4"/>
  <c r="D991" i="4"/>
  <c r="D999" i="4"/>
  <c r="C1001" i="4"/>
  <c r="D1007" i="4"/>
  <c r="D1017" i="4"/>
  <c r="C1018" i="4"/>
  <c r="D1019" i="4"/>
  <c r="D1021" i="4"/>
  <c r="D1022" i="4"/>
  <c r="C1023" i="4"/>
  <c r="D1046" i="4"/>
  <c r="D1048" i="4"/>
  <c r="C1049" i="4"/>
  <c r="C1052" i="4"/>
  <c r="C1055" i="4"/>
  <c r="C1057" i="4"/>
  <c r="E1057" i="4" s="1"/>
  <c r="D1060" i="4"/>
  <c r="D1061" i="4"/>
  <c r="D1062" i="4"/>
  <c r="C16" i="4"/>
  <c r="D16" i="4"/>
  <c r="C17" i="4"/>
  <c r="D17" i="4"/>
  <c r="C18" i="4"/>
  <c r="D18" i="4"/>
  <c r="C19" i="4"/>
  <c r="D19" i="4"/>
  <c r="C20" i="4"/>
  <c r="D20" i="4"/>
  <c r="C21" i="4"/>
  <c r="D21" i="4"/>
  <c r="C22" i="4"/>
  <c r="D22" i="4"/>
  <c r="C23" i="4"/>
  <c r="D23" i="4"/>
  <c r="C24" i="4"/>
  <c r="D24" i="4"/>
  <c r="C25" i="4"/>
  <c r="D25" i="4"/>
  <c r="C26" i="4"/>
  <c r="D26" i="4"/>
  <c r="C27" i="4"/>
  <c r="D27" i="4"/>
  <c r="C28" i="4"/>
  <c r="D28" i="4"/>
  <c r="C29" i="4"/>
  <c r="D29" i="4"/>
  <c r="C30" i="4"/>
  <c r="D30" i="4"/>
  <c r="C31" i="4"/>
  <c r="D31" i="4"/>
  <c r="C32" i="4"/>
  <c r="D32" i="4"/>
  <c r="C33" i="4"/>
  <c r="D33" i="4"/>
  <c r="C34" i="4"/>
  <c r="D34" i="4"/>
  <c r="C35" i="4"/>
  <c r="D35" i="4"/>
  <c r="C36" i="4"/>
  <c r="D36" i="4"/>
  <c r="C37" i="4"/>
  <c r="D37" i="4"/>
  <c r="C38" i="4"/>
  <c r="D38" i="4"/>
  <c r="C39" i="4"/>
  <c r="D39" i="4"/>
  <c r="C40" i="4"/>
  <c r="D40" i="4"/>
  <c r="C41" i="4"/>
  <c r="D41" i="4"/>
  <c r="C42" i="4"/>
  <c r="D42" i="4"/>
  <c r="C43" i="4"/>
  <c r="D43" i="4"/>
  <c r="C44" i="4"/>
  <c r="D44" i="4"/>
  <c r="C45" i="4"/>
  <c r="D45" i="4"/>
  <c r="C46" i="4"/>
  <c r="D46" i="4"/>
  <c r="C47" i="4"/>
  <c r="D47" i="4"/>
  <c r="C48" i="4"/>
  <c r="D48" i="4"/>
  <c r="C49" i="4"/>
  <c r="D49" i="4"/>
  <c r="C50" i="4"/>
  <c r="D50" i="4"/>
  <c r="C51" i="4"/>
  <c r="D51" i="4"/>
  <c r="C52" i="4"/>
  <c r="D52" i="4"/>
  <c r="C53" i="4"/>
  <c r="D53" i="4"/>
  <c r="C54" i="4"/>
  <c r="D54" i="4"/>
  <c r="C55" i="4"/>
  <c r="D55" i="4"/>
  <c r="C56" i="4"/>
  <c r="D56" i="4"/>
  <c r="C57" i="4"/>
  <c r="D57" i="4"/>
  <c r="C58" i="4"/>
  <c r="D58" i="4"/>
  <c r="C59" i="4"/>
  <c r="D59" i="4"/>
  <c r="C60" i="4"/>
  <c r="D60" i="4"/>
  <c r="C61" i="4"/>
  <c r="D61" i="4"/>
  <c r="C62" i="4"/>
  <c r="D62" i="4"/>
  <c r="C63" i="4"/>
  <c r="D63" i="4"/>
  <c r="C64" i="4"/>
  <c r="D64" i="4"/>
  <c r="C65" i="4"/>
  <c r="D65" i="4"/>
  <c r="C66" i="4"/>
  <c r="D66" i="4"/>
  <c r="C67" i="4"/>
  <c r="D67" i="4"/>
  <c r="C68" i="4"/>
  <c r="D68" i="4"/>
  <c r="C69" i="4"/>
  <c r="D69" i="4"/>
  <c r="C70" i="4"/>
  <c r="D70" i="4"/>
  <c r="C71" i="4"/>
  <c r="D71" i="4"/>
  <c r="C72" i="4"/>
  <c r="D72" i="4"/>
  <c r="C73" i="4"/>
  <c r="D73" i="4"/>
  <c r="C74" i="4"/>
  <c r="D74" i="4"/>
  <c r="C75" i="4"/>
  <c r="D75" i="4"/>
  <c r="C76" i="4"/>
  <c r="D76" i="4"/>
  <c r="C77" i="4"/>
  <c r="D77" i="4"/>
  <c r="C78" i="4"/>
  <c r="D78" i="4"/>
  <c r="C79" i="4"/>
  <c r="D79" i="4"/>
  <c r="C80" i="4"/>
  <c r="D80" i="4"/>
  <c r="C81" i="4"/>
  <c r="D81" i="4"/>
  <c r="C82" i="4"/>
  <c r="D82" i="4"/>
  <c r="C83" i="4"/>
  <c r="D83" i="4"/>
  <c r="C84" i="4"/>
  <c r="D84" i="4"/>
  <c r="C85" i="4"/>
  <c r="D85" i="4"/>
  <c r="C86" i="4"/>
  <c r="D86" i="4"/>
  <c r="C87" i="4"/>
  <c r="D87" i="4"/>
  <c r="C88" i="4"/>
  <c r="D88" i="4"/>
  <c r="C89" i="4"/>
  <c r="D89" i="4"/>
  <c r="C90" i="4"/>
  <c r="D90" i="4"/>
  <c r="C91" i="4"/>
  <c r="D91" i="4"/>
  <c r="C92" i="4"/>
  <c r="D92" i="4"/>
  <c r="C93" i="4"/>
  <c r="D93" i="4"/>
  <c r="C94" i="4"/>
  <c r="D94" i="4"/>
  <c r="D753" i="4"/>
  <c r="D765" i="4"/>
  <c r="C768" i="4"/>
  <c r="C783" i="4"/>
  <c r="C787" i="4"/>
  <c r="C790" i="4"/>
  <c r="D816" i="4"/>
  <c r="C820" i="4"/>
  <c r="C822" i="4"/>
  <c r="D829" i="4"/>
  <c r="C830" i="4"/>
  <c r="D941" i="4"/>
  <c r="C942" i="4"/>
  <c r="C946" i="4"/>
  <c r="D951" i="4"/>
  <c r="C954" i="4"/>
  <c r="D958" i="4"/>
  <c r="C970" i="4"/>
  <c r="D971" i="4"/>
  <c r="C972" i="4"/>
  <c r="C978" i="4"/>
  <c r="C982" i="4"/>
  <c r="D986" i="4"/>
  <c r="C1003" i="4"/>
  <c r="C1006" i="4"/>
  <c r="C1008" i="4"/>
  <c r="C1014" i="4"/>
  <c r="C1021" i="4"/>
  <c r="C1022" i="4"/>
  <c r="D1027" i="4"/>
  <c r="C1034" i="4"/>
  <c r="C1036" i="4"/>
  <c r="C1039" i="4"/>
  <c r="D1040" i="4"/>
  <c r="C1042" i="4"/>
  <c r="C1043" i="4"/>
  <c r="C1046" i="4"/>
  <c r="D1047" i="4"/>
  <c r="D1050" i="4"/>
  <c r="D1051" i="4"/>
  <c r="D1053" i="4"/>
  <c r="D1055" i="4"/>
  <c r="D1058" i="4"/>
  <c r="C8" i="4"/>
  <c r="C9" i="4"/>
  <c r="D11" i="4"/>
  <c r="D13" i="4"/>
  <c r="D96" i="4"/>
  <c r="C97" i="4"/>
  <c r="D98" i="4"/>
  <c r="C102" i="4"/>
  <c r="C106" i="4"/>
  <c r="C108" i="4"/>
  <c r="C109" i="4"/>
  <c r="C115" i="4"/>
  <c r="D118" i="4"/>
  <c r="D119" i="4"/>
  <c r="C120" i="4"/>
  <c r="D120" i="4"/>
  <c r="C121" i="4"/>
  <c r="D121" i="4"/>
  <c r="C122" i="4"/>
  <c r="D122" i="4"/>
  <c r="C123" i="4"/>
  <c r="D123" i="4"/>
  <c r="C124" i="4"/>
  <c r="D124" i="4"/>
  <c r="C125" i="4"/>
  <c r="D125" i="4"/>
  <c r="C126" i="4"/>
  <c r="D126" i="4"/>
  <c r="C127" i="4"/>
  <c r="D127" i="4"/>
  <c r="C128" i="4"/>
  <c r="D128" i="4"/>
  <c r="C129" i="4"/>
  <c r="D129" i="4"/>
  <c r="C130" i="4"/>
  <c r="D130" i="4"/>
  <c r="C131" i="4"/>
  <c r="D131" i="4"/>
  <c r="C132" i="4"/>
  <c r="D132" i="4"/>
  <c r="C133" i="4"/>
  <c r="D133" i="4"/>
  <c r="C134" i="4"/>
  <c r="D134" i="4"/>
  <c r="C135" i="4"/>
  <c r="D135" i="4"/>
  <c r="C136" i="4"/>
  <c r="D136" i="4"/>
  <c r="C137" i="4"/>
  <c r="D137" i="4"/>
  <c r="C138" i="4"/>
  <c r="D138" i="4"/>
  <c r="C139" i="4"/>
  <c r="D139" i="4"/>
  <c r="C140" i="4"/>
  <c r="D140" i="4"/>
  <c r="C141" i="4"/>
  <c r="D141" i="4"/>
  <c r="C142" i="4"/>
  <c r="D142" i="4"/>
  <c r="C143" i="4"/>
  <c r="D143" i="4"/>
  <c r="C144" i="4"/>
  <c r="D144" i="4"/>
  <c r="C145" i="4"/>
  <c r="D145" i="4"/>
  <c r="C146" i="4"/>
  <c r="D146" i="4"/>
  <c r="C147" i="4"/>
  <c r="D147" i="4"/>
  <c r="C148" i="4"/>
  <c r="D148" i="4"/>
  <c r="C149" i="4"/>
  <c r="D149" i="4"/>
  <c r="C150" i="4"/>
  <c r="D150" i="4"/>
  <c r="C151" i="4"/>
  <c r="D151" i="4"/>
  <c r="C152" i="4"/>
  <c r="D152" i="4"/>
  <c r="C153" i="4"/>
  <c r="D153" i="4"/>
  <c r="C154" i="4"/>
  <c r="D154" i="4"/>
  <c r="C155" i="4"/>
  <c r="D155" i="4"/>
  <c r="C156" i="4"/>
  <c r="D156" i="4"/>
  <c r="C157" i="4"/>
  <c r="D157" i="4"/>
  <c r="C158" i="4"/>
  <c r="D158" i="4"/>
  <c r="C159" i="4"/>
  <c r="D159" i="4"/>
  <c r="C160" i="4"/>
  <c r="D160" i="4"/>
  <c r="C161" i="4"/>
  <c r="D161" i="4"/>
  <c r="C162" i="4"/>
  <c r="D162" i="4"/>
  <c r="C163" i="4"/>
  <c r="D163" i="4"/>
  <c r="C164" i="4"/>
  <c r="D164" i="4"/>
  <c r="C165" i="4"/>
  <c r="D165" i="4"/>
  <c r="C166" i="4"/>
  <c r="D166" i="4"/>
  <c r="C167" i="4"/>
  <c r="D167" i="4"/>
  <c r="C168" i="4"/>
  <c r="D168" i="4"/>
  <c r="C169" i="4"/>
  <c r="D169" i="4"/>
  <c r="C170" i="4"/>
  <c r="D170" i="4"/>
  <c r="C171" i="4"/>
  <c r="D171" i="4"/>
  <c r="C172" i="4"/>
  <c r="D172" i="4"/>
  <c r="C173" i="4"/>
  <c r="D173" i="4"/>
  <c r="C174" i="4"/>
  <c r="D174" i="4"/>
  <c r="C175" i="4"/>
  <c r="D175" i="4"/>
  <c r="C176" i="4"/>
  <c r="D176" i="4"/>
  <c r="C177" i="4"/>
  <c r="D177" i="4"/>
  <c r="C178" i="4"/>
  <c r="D178" i="4"/>
  <c r="C179" i="4"/>
  <c r="D179" i="4"/>
  <c r="C180" i="4"/>
  <c r="D180" i="4"/>
  <c r="C181" i="4"/>
  <c r="D181" i="4"/>
  <c r="C182" i="4"/>
  <c r="D182" i="4"/>
  <c r="C183" i="4"/>
  <c r="D183" i="4"/>
  <c r="C184" i="4"/>
  <c r="D184" i="4"/>
  <c r="C185" i="4"/>
  <c r="D185" i="4"/>
  <c r="C186" i="4"/>
  <c r="D186" i="4"/>
  <c r="C187" i="4"/>
  <c r="D187" i="4"/>
  <c r="C188" i="4"/>
  <c r="D756" i="4"/>
  <c r="D763" i="4"/>
  <c r="C764" i="4"/>
  <c r="C773" i="4"/>
  <c r="D786" i="4"/>
  <c r="D787" i="4"/>
  <c r="D788" i="4"/>
  <c r="C793" i="4"/>
  <c r="D802" i="4"/>
  <c r="D804" i="4"/>
  <c r="D806" i="4"/>
  <c r="D807" i="4"/>
  <c r="D808" i="4"/>
  <c r="C811" i="4"/>
  <c r="C816" i="4"/>
  <c r="D817" i="4"/>
  <c r="D819" i="4"/>
  <c r="D822" i="4"/>
  <c r="C823" i="4"/>
  <c r="C833" i="4"/>
  <c r="D834" i="4"/>
  <c r="C944" i="4"/>
  <c r="D956" i="4"/>
  <c r="D962" i="4"/>
  <c r="D968" i="4"/>
  <c r="D979" i="4"/>
  <c r="D980" i="4"/>
  <c r="C984" i="4"/>
  <c r="D988" i="4"/>
  <c r="C992" i="4"/>
  <c r="C997" i="4"/>
  <c r="C1000" i="4"/>
  <c r="D1001" i="4"/>
  <c r="D1003" i="4"/>
  <c r="D1006" i="4"/>
  <c r="C1007" i="4"/>
  <c r="D1009" i="4"/>
  <c r="C1010" i="4"/>
  <c r="C1013" i="4"/>
  <c r="D1014" i="4"/>
  <c r="C1015" i="4"/>
  <c r="D1018" i="4"/>
  <c r="C1019" i="4"/>
  <c r="D1025" i="4"/>
  <c r="D1028" i="4"/>
  <c r="D1033" i="4"/>
  <c r="D1038" i="4"/>
  <c r="C1040" i="4"/>
  <c r="E1040" i="4" s="1"/>
  <c r="D1041" i="4"/>
  <c r="D1042" i="4"/>
  <c r="C1044" i="4"/>
  <c r="D1045" i="4"/>
  <c r="C1047" i="4"/>
  <c r="E1047" i="4" s="1"/>
  <c r="C1048" i="4"/>
  <c r="D1052" i="4"/>
  <c r="C1053" i="4"/>
  <c r="E1053" i="4" s="1"/>
  <c r="C1054" i="4"/>
  <c r="D1056" i="4"/>
  <c r="C1059" i="4"/>
  <c r="C1062" i="4"/>
  <c r="F8" i="5"/>
  <c r="E252" i="4" l="1"/>
  <c r="E253" i="4"/>
  <c r="E257" i="4"/>
  <c r="E258" i="4"/>
  <c r="E259" i="4"/>
  <c r="E260" i="4"/>
  <c r="E267" i="4"/>
  <c r="E269" i="4"/>
  <c r="E271" i="4"/>
  <c r="E276" i="4"/>
  <c r="E277" i="4"/>
  <c r="E278" i="4"/>
  <c r="E279" i="4"/>
  <c r="E119" i="4"/>
  <c r="E190" i="4"/>
  <c r="E192" i="4"/>
  <c r="E193" i="4"/>
  <c r="E201" i="4"/>
  <c r="E202" i="4"/>
  <c r="E284" i="4"/>
  <c r="E289" i="4"/>
  <c r="E291" i="4"/>
  <c r="E297" i="4"/>
  <c r="E299" i="4"/>
  <c r="E302" i="4"/>
  <c r="E305" i="4"/>
  <c r="E309" i="4"/>
  <c r="E314" i="4"/>
  <c r="E317" i="4"/>
  <c r="E321" i="4"/>
  <c r="E323" i="4"/>
  <c r="E329" i="4"/>
  <c r="E334" i="4"/>
  <c r="E337" i="4"/>
  <c r="E339" i="4"/>
  <c r="E343" i="4"/>
  <c r="E344" i="4"/>
  <c r="E346" i="4"/>
  <c r="E353" i="4"/>
  <c r="E354" i="4"/>
  <c r="E355" i="4"/>
  <c r="E356" i="4"/>
  <c r="E361" i="4"/>
  <c r="E365" i="4"/>
  <c r="E366" i="4"/>
  <c r="E369" i="4"/>
  <c r="E370" i="4"/>
  <c r="E371" i="4"/>
  <c r="E756" i="4"/>
  <c r="E786" i="4"/>
  <c r="E964" i="4"/>
  <c r="E965" i="4"/>
  <c r="E979" i="4"/>
  <c r="E989" i="4"/>
  <c r="E995" i="4"/>
  <c r="E1005" i="4"/>
  <c r="E1009" i="4"/>
  <c r="E1026" i="4"/>
  <c r="E1035" i="4"/>
  <c r="E1050" i="4"/>
  <c r="E1051" i="4"/>
  <c r="E98" i="4"/>
  <c r="E110" i="4"/>
  <c r="E385" i="4"/>
  <c r="E386" i="4"/>
  <c r="E387" i="4"/>
  <c r="E388" i="4"/>
  <c r="E399" i="4"/>
  <c r="E400" i="4"/>
  <c r="E401" i="4"/>
  <c r="E409" i="4"/>
  <c r="E410" i="4"/>
  <c r="E412" i="4"/>
  <c r="E413" i="4"/>
  <c r="E414" i="4"/>
  <c r="E416" i="4"/>
  <c r="E417" i="4"/>
  <c r="E418" i="4"/>
  <c r="E419" i="4"/>
  <c r="E421" i="4"/>
  <c r="E426" i="4"/>
  <c r="E427" i="4"/>
  <c r="E428" i="4"/>
  <c r="E429" i="4"/>
  <c r="E431" i="4"/>
  <c r="E433" i="4"/>
  <c r="E434" i="4"/>
  <c r="E442" i="4"/>
  <c r="E444" i="4"/>
  <c r="E449" i="4"/>
  <c r="E450" i="4"/>
  <c r="E455" i="4"/>
  <c r="E456" i="4"/>
  <c r="E458" i="4"/>
  <c r="E462" i="4"/>
  <c r="E464" i="4"/>
  <c r="E467" i="4"/>
  <c r="E468" i="4"/>
  <c r="E469" i="4"/>
  <c r="E7" i="4"/>
  <c r="E10" i="4"/>
  <c r="E493" i="4"/>
  <c r="E496" i="4"/>
  <c r="E497" i="4"/>
  <c r="E499" i="4"/>
  <c r="E501" i="4"/>
  <c r="E502" i="4"/>
  <c r="E503" i="4"/>
  <c r="E504" i="4"/>
  <c r="E505" i="4"/>
  <c r="E506" i="4"/>
  <c r="E508" i="4"/>
  <c r="E509" i="4"/>
  <c r="E510" i="4"/>
  <c r="E511" i="4"/>
  <c r="E513" i="4"/>
  <c r="E516" i="4"/>
  <c r="E517" i="4"/>
  <c r="E519" i="4"/>
  <c r="E522" i="4"/>
  <c r="E523" i="4"/>
  <c r="E524" i="4"/>
  <c r="E525" i="4"/>
  <c r="E528" i="4"/>
  <c r="E529" i="4"/>
  <c r="E530" i="4"/>
  <c r="E531" i="4"/>
  <c r="E542" i="4"/>
  <c r="E545" i="4"/>
  <c r="E546" i="4"/>
  <c r="E548" i="4"/>
  <c r="E549" i="4"/>
  <c r="E551" i="4"/>
  <c r="E554" i="4"/>
  <c r="E557" i="4"/>
  <c r="E559" i="4"/>
  <c r="E560" i="4"/>
  <c r="E561" i="4"/>
  <c r="E774" i="4"/>
  <c r="E795" i="4"/>
  <c r="E957" i="4"/>
  <c r="E981" i="4"/>
  <c r="E105" i="4"/>
  <c r="E112" i="4"/>
  <c r="E565" i="4"/>
  <c r="E566" i="4"/>
  <c r="E568" i="4"/>
  <c r="E582" i="4"/>
  <c r="E583" i="4"/>
  <c r="E585" i="4"/>
  <c r="E586" i="4"/>
  <c r="E587" i="4"/>
  <c r="E589" i="4"/>
  <c r="E593" i="4"/>
  <c r="E594" i="4"/>
  <c r="E595" i="4"/>
  <c r="E596" i="4"/>
  <c r="E600" i="4"/>
  <c r="E601" i="4"/>
  <c r="E603" i="4"/>
  <c r="E605" i="4"/>
  <c r="E609" i="4"/>
  <c r="E611" i="4"/>
  <c r="E627" i="4"/>
  <c r="E629" i="4"/>
  <c r="E637" i="4"/>
  <c r="E639" i="4"/>
  <c r="E641" i="4"/>
  <c r="E642" i="4"/>
  <c r="E643" i="4"/>
  <c r="E644" i="4"/>
  <c r="E647" i="4"/>
  <c r="E648" i="4"/>
  <c r="E650" i="4"/>
  <c r="E651" i="4"/>
  <c r="E652" i="4"/>
  <c r="E653" i="4"/>
  <c r="E654" i="4"/>
  <c r="E656" i="4"/>
  <c r="E657" i="4"/>
  <c r="E825" i="4"/>
  <c r="E967" i="4"/>
  <c r="E12" i="4"/>
  <c r="E484" i="4"/>
  <c r="E570" i="4"/>
  <c r="E658" i="4"/>
  <c r="E665" i="4"/>
  <c r="E666" i="4"/>
  <c r="E667" i="4"/>
  <c r="E670" i="4"/>
  <c r="E671" i="4"/>
  <c r="E674" i="4"/>
  <c r="E675" i="4"/>
  <c r="E676" i="4"/>
  <c r="E678" i="4"/>
  <c r="E680" i="4"/>
  <c r="E681" i="4"/>
  <c r="E682" i="4"/>
  <c r="E683" i="4"/>
  <c r="E685" i="4"/>
  <c r="E688" i="4"/>
  <c r="E689" i="4"/>
  <c r="E691" i="4"/>
  <c r="E692" i="4"/>
  <c r="E694" i="4"/>
  <c r="E695" i="4"/>
  <c r="E696" i="4"/>
  <c r="E697" i="4"/>
  <c r="E699" i="4"/>
  <c r="E700" i="4"/>
  <c r="E701" i="4"/>
  <c r="E702" i="4"/>
  <c r="E708" i="4"/>
  <c r="E709" i="4"/>
  <c r="E710" i="4"/>
  <c r="E713" i="4"/>
  <c r="E716" i="4"/>
  <c r="E717" i="4"/>
  <c r="E719" i="4"/>
  <c r="E723" i="4"/>
  <c r="E724" i="4"/>
  <c r="E725" i="4"/>
  <c r="E728" i="4"/>
  <c r="E729" i="4"/>
  <c r="E732" i="4"/>
  <c r="E733" i="4"/>
  <c r="E734" i="4"/>
  <c r="E735" i="4"/>
  <c r="E736" i="4"/>
  <c r="E737" i="4"/>
  <c r="E738" i="4"/>
  <c r="E743" i="4"/>
  <c r="E748" i="4"/>
  <c r="E749" i="4"/>
  <c r="E778" i="4"/>
  <c r="E814" i="4"/>
  <c r="E836" i="4"/>
  <c r="E837" i="4"/>
  <c r="E838" i="4"/>
  <c r="E841" i="4"/>
  <c r="E796" i="4"/>
  <c r="E848" i="4"/>
  <c r="E850" i="4"/>
  <c r="E852" i="4"/>
  <c r="E853" i="4"/>
  <c r="E855" i="4"/>
  <c r="E858" i="4"/>
  <c r="E860" i="4"/>
  <c r="E865" i="4"/>
  <c r="E866" i="4"/>
  <c r="E868" i="4"/>
  <c r="E869" i="4"/>
  <c r="E870" i="4"/>
  <c r="E871" i="4"/>
  <c r="E873" i="4"/>
  <c r="E877" i="4"/>
  <c r="E878" i="4"/>
  <c r="E881" i="4"/>
  <c r="E882" i="4"/>
  <c r="E884" i="4"/>
  <c r="E886" i="4"/>
  <c r="E888" i="4"/>
  <c r="E889" i="4"/>
  <c r="E892" i="4"/>
  <c r="E893" i="4"/>
  <c r="E894" i="4"/>
  <c r="E895" i="4"/>
  <c r="E896" i="4"/>
  <c r="E897" i="4"/>
  <c r="E898" i="4"/>
  <c r="E902" i="4"/>
  <c r="E906" i="4"/>
  <c r="E907" i="4"/>
  <c r="E908" i="4"/>
  <c r="E912" i="4"/>
  <c r="E1041" i="4"/>
  <c r="E1045" i="4"/>
  <c r="E1056" i="4"/>
  <c r="E1058" i="4"/>
  <c r="E1063" i="4"/>
  <c r="E1107" i="4"/>
  <c r="E755" i="4"/>
  <c r="E780" i="4"/>
  <c r="E801" i="4"/>
  <c r="E808" i="4"/>
  <c r="E831" i="4"/>
  <c r="E941" i="4"/>
  <c r="E953" i="4"/>
  <c r="E958" i="4"/>
  <c r="E959" i="4"/>
  <c r="E969" i="4"/>
  <c r="E974" i="4"/>
  <c r="E975" i="4"/>
  <c r="E976" i="4"/>
  <c r="E1001" i="4"/>
  <c r="E1018" i="4"/>
  <c r="E1023" i="4"/>
  <c r="E1049" i="4"/>
  <c r="E1052" i="4"/>
  <c r="E1055" i="4"/>
  <c r="E768" i="4"/>
  <c r="E787" i="4"/>
  <c r="E790" i="4"/>
  <c r="E199" i="4"/>
  <c r="E206" i="4"/>
  <c r="E209" i="4"/>
  <c r="E210" i="4"/>
  <c r="E213" i="4"/>
  <c r="E216" i="4"/>
  <c r="E219" i="4"/>
  <c r="E223" i="4"/>
  <c r="E224" i="4"/>
  <c r="E783" i="4"/>
  <c r="G4" i="5"/>
  <c r="G7" i="5"/>
  <c r="G8" i="5"/>
  <c r="K11" i="4"/>
  <c r="E6" i="4"/>
  <c r="E104" i="4"/>
  <c r="E107" i="4"/>
  <c r="E111" i="4"/>
  <c r="E116" i="4"/>
  <c r="E198" i="4"/>
  <c r="E203" i="4"/>
  <c r="E204" i="4"/>
  <c r="E205" i="4"/>
  <c r="E207" i="4"/>
  <c r="E208" i="4"/>
  <c r="E211" i="4"/>
  <c r="E212" i="4"/>
  <c r="E214" i="4"/>
  <c r="E215" i="4"/>
  <c r="E220" i="4"/>
  <c r="E222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5" i="4"/>
  <c r="E256" i="4"/>
  <c r="E275" i="4"/>
  <c r="E103" i="4"/>
  <c r="E191" i="4"/>
  <c r="E282" i="4"/>
  <c r="E283" i="4"/>
  <c r="E288" i="4"/>
  <c r="E292" i="4"/>
  <c r="E293" i="4"/>
  <c r="E294" i="4"/>
  <c r="E295" i="4"/>
  <c r="E296" i="4"/>
  <c r="E300" i="4"/>
  <c r="E301" i="4"/>
  <c r="E303" i="4"/>
  <c r="E304" i="4"/>
  <c r="E310" i="4"/>
  <c r="E312" i="4"/>
  <c r="E315" i="4"/>
  <c r="E316" i="4"/>
  <c r="E319" i="4"/>
  <c r="E320" i="4"/>
  <c r="E330" i="4"/>
  <c r="E331" i="4"/>
  <c r="E333" i="4"/>
  <c r="E335" i="4"/>
  <c r="E336" i="4"/>
  <c r="E338" i="4"/>
  <c r="E340" i="4"/>
  <c r="E341" i="4"/>
  <c r="E342" i="4"/>
  <c r="E347" i="4"/>
  <c r="E348" i="4"/>
  <c r="E350" i="4"/>
  <c r="E357" i="4"/>
  <c r="E362" i="4"/>
  <c r="E363" i="4"/>
  <c r="E372" i="4"/>
  <c r="E759" i="4"/>
  <c r="E777" i="4"/>
  <c r="E781" i="4"/>
  <c r="E797" i="4"/>
  <c r="E960" i="4"/>
  <c r="E990" i="4"/>
  <c r="E999" i="4"/>
  <c r="E390" i="4"/>
  <c r="E393" i="4"/>
  <c r="E396" i="4"/>
  <c r="E404" i="4"/>
  <c r="E406" i="4"/>
  <c r="E423" i="4"/>
  <c r="E430" i="4"/>
  <c r="E432" i="4"/>
  <c r="E436" i="4"/>
  <c r="E439" i="4"/>
  <c r="E445" i="4"/>
  <c r="E448" i="4"/>
  <c r="E451" i="4"/>
  <c r="E453" i="4"/>
  <c r="E459" i="4"/>
  <c r="E460" i="4"/>
  <c r="E463" i="4"/>
  <c r="E465" i="4"/>
  <c r="E380" i="4"/>
  <c r="E480" i="4"/>
  <c r="E483" i="4"/>
  <c r="E487" i="4"/>
  <c r="E491" i="4"/>
  <c r="E494" i="4"/>
  <c r="E500" i="4"/>
  <c r="E507" i="4"/>
  <c r="E521" i="4"/>
  <c r="E555" i="4"/>
  <c r="E770" i="4"/>
  <c r="E810" i="4"/>
  <c r="E832" i="4"/>
  <c r="E940" i="4"/>
  <c r="E95" i="4"/>
  <c r="E571" i="4"/>
  <c r="E578" i="4"/>
  <c r="E588" i="4"/>
  <c r="E592" i="4"/>
  <c r="E598" i="4"/>
  <c r="E602" i="4"/>
  <c r="E731" i="4"/>
  <c r="E740" i="4"/>
  <c r="E742" i="4"/>
  <c r="E745" i="4"/>
  <c r="E261" i="4"/>
  <c r="E264" i="4"/>
  <c r="E266" i="4"/>
  <c r="E270" i="4"/>
  <c r="E274" i="4"/>
  <c r="E280" i="4"/>
  <c r="E281" i="4"/>
  <c r="E197" i="4"/>
  <c r="E285" i="4"/>
  <c r="E286" i="4"/>
  <c r="E359" i="4"/>
  <c r="E367" i="4"/>
  <c r="E368" i="4"/>
  <c r="E374" i="4"/>
  <c r="E375" i="4"/>
  <c r="E765" i="4"/>
  <c r="E827" i="4"/>
  <c r="E949" i="4"/>
  <c r="E961" i="4"/>
  <c r="E1064" i="4"/>
  <c r="E114" i="4"/>
  <c r="E394" i="4"/>
  <c r="E398" i="4"/>
  <c r="E425" i="4"/>
  <c r="E437" i="4"/>
  <c r="E440" i="4"/>
  <c r="E443" i="4"/>
  <c r="E446" i="4"/>
  <c r="E452" i="4"/>
  <c r="E457" i="4"/>
  <c r="E461" i="4"/>
  <c r="E99" i="4"/>
  <c r="E377" i="4"/>
  <c r="E476" i="4"/>
  <c r="E490" i="4"/>
  <c r="E492" i="4"/>
  <c r="E498" i="4"/>
  <c r="E527" i="4"/>
  <c r="E541" i="4"/>
  <c r="E543" i="4"/>
  <c r="E553" i="4"/>
  <c r="E558" i="4"/>
  <c r="E562" i="4"/>
  <c r="E563" i="4"/>
  <c r="E769" i="4"/>
  <c r="E818" i="4"/>
  <c r="E577" i="4"/>
  <c r="E584" i="4"/>
  <c r="E597" i="4"/>
  <c r="E604" i="4"/>
  <c r="E607" i="4"/>
  <c r="E610" i="4"/>
  <c r="E630" i="4"/>
  <c r="E631" i="4"/>
  <c r="E632" i="4"/>
  <c r="E634" i="4"/>
  <c r="E635" i="4"/>
  <c r="E636" i="4"/>
  <c r="E640" i="4"/>
  <c r="E478" i="4"/>
  <c r="E661" i="4"/>
  <c r="E669" i="4"/>
  <c r="E673" i="4"/>
  <c r="E686" i="4"/>
  <c r="E703" i="4"/>
  <c r="E727" i="4"/>
  <c r="E857" i="4"/>
  <c r="E872" i="4"/>
  <c r="E885" i="4"/>
  <c r="E904" i="4"/>
  <c r="E714" i="4"/>
  <c r="E722" i="4"/>
  <c r="E730" i="4"/>
  <c r="E741" i="4"/>
  <c r="E747" i="4"/>
  <c r="E840" i="4"/>
  <c r="E845" i="4"/>
  <c r="E856" i="4"/>
  <c r="E861" i="4"/>
  <c r="E864" i="4"/>
  <c r="E867" i="4"/>
  <c r="E874" i="4"/>
  <c r="E880" i="4"/>
  <c r="E887" i="4"/>
  <c r="E890" i="4"/>
  <c r="E899" i="4"/>
  <c r="E911" i="4"/>
  <c r="E646" i="4"/>
  <c r="E649" i="4"/>
  <c r="E655" i="4"/>
  <c r="E575" i="4"/>
  <c r="E663" i="4"/>
  <c r="E672" i="4"/>
  <c r="E677" i="4"/>
  <c r="E679" i="4"/>
  <c r="E684" i="4"/>
  <c r="E687" i="4"/>
  <c r="E693" i="4"/>
  <c r="E698" i="4"/>
  <c r="E704" i="4"/>
  <c r="E706" i="4"/>
  <c r="E707" i="4"/>
  <c r="E721" i="4"/>
  <c r="E726" i="4"/>
  <c r="E739" i="4"/>
  <c r="E839" i="4"/>
  <c r="E846" i="4"/>
  <c r="E847" i="4"/>
  <c r="E849" i="4"/>
  <c r="E863" i="4"/>
  <c r="E883" i="4"/>
  <c r="E512" i="4"/>
  <c r="E515" i="4"/>
  <c r="E544" i="4"/>
  <c r="E556" i="4"/>
  <c r="E955" i="4"/>
  <c r="E576" i="4"/>
  <c r="E580" i="4"/>
  <c r="E590" i="4"/>
  <c r="E591" i="4"/>
  <c r="E599" i="4"/>
  <c r="E606" i="4"/>
  <c r="E608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8" i="4"/>
  <c r="E633" i="4"/>
  <c r="E638" i="4"/>
  <c r="E573" i="4"/>
  <c r="E659" i="4"/>
  <c r="E690" i="4"/>
  <c r="E711" i="4"/>
  <c r="E715" i="4"/>
  <c r="E751" i="4"/>
  <c r="E757" i="4"/>
  <c r="E842" i="4"/>
  <c r="E859" i="4"/>
  <c r="E862" i="4"/>
  <c r="E876" i="4"/>
  <c r="E879" i="4"/>
  <c r="E891" i="4"/>
  <c r="E901" i="4"/>
  <c r="E910" i="4"/>
  <c r="E532" i="4"/>
  <c r="E533" i="4"/>
  <c r="E534" i="4"/>
  <c r="E535" i="4"/>
  <c r="E536" i="4"/>
  <c r="E537" i="4"/>
  <c r="E538" i="4"/>
  <c r="E539" i="4"/>
  <c r="E540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803" i="4"/>
  <c r="E805" i="4"/>
  <c r="E821" i="4"/>
  <c r="E950" i="4"/>
  <c r="E963" i="4"/>
  <c r="E966" i="4"/>
  <c r="E977" i="4"/>
  <c r="E987" i="4"/>
  <c r="E996" i="4"/>
  <c r="E998" i="4"/>
  <c r="E1002" i="4"/>
  <c r="E1011" i="4"/>
  <c r="E1024" i="4"/>
  <c r="E1029" i="4"/>
  <c r="E1030" i="4"/>
  <c r="E1031" i="4"/>
  <c r="E1032" i="4"/>
  <c r="E752" i="4"/>
  <c r="E762" i="4"/>
  <c r="E771" i="4"/>
  <c r="E775" i="4"/>
  <c r="E784" i="4"/>
  <c r="E791" i="4"/>
  <c r="E794" i="4"/>
  <c r="E800" i="4"/>
  <c r="E947" i="4"/>
  <c r="E991" i="4"/>
  <c r="E994" i="4"/>
  <c r="E1004" i="4"/>
  <c r="E1017" i="4"/>
  <c r="E1037" i="4"/>
  <c r="E1060" i="4"/>
  <c r="E1061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8" i="4"/>
  <c r="E1109" i="4"/>
  <c r="E1110" i="4"/>
  <c r="E1111" i="4"/>
  <c r="E1112" i="4"/>
  <c r="E1113" i="4"/>
  <c r="E1114" i="4"/>
  <c r="E1115" i="4"/>
  <c r="E1116" i="4"/>
  <c r="E1117" i="4"/>
  <c r="E1118" i="4"/>
  <c r="E766" i="4"/>
  <c r="E767" i="4"/>
  <c r="E798" i="4"/>
  <c r="E799" i="4"/>
  <c r="E815" i="4"/>
  <c r="E83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812" i="4"/>
  <c r="E843" i="4"/>
  <c r="E851" i="4"/>
  <c r="E854" i="4"/>
  <c r="E905" i="4"/>
  <c r="E909" i="4"/>
  <c r="E820" i="4"/>
  <c r="E822" i="4"/>
  <c r="E830" i="4"/>
  <c r="E942" i="4"/>
  <c r="E946" i="4"/>
  <c r="E954" i="4"/>
  <c r="E970" i="4"/>
  <c r="E972" i="4"/>
  <c r="E978" i="4"/>
  <c r="E982" i="4"/>
  <c r="E1003" i="4"/>
  <c r="E1006" i="4"/>
  <c r="E1008" i="4"/>
  <c r="E1014" i="4"/>
  <c r="E1021" i="4"/>
  <c r="E1022" i="4"/>
  <c r="E1034" i="4"/>
  <c r="E1036" i="4"/>
  <c r="E1039" i="4"/>
  <c r="E1042" i="4"/>
  <c r="E1043" i="4"/>
  <c r="E1046" i="4"/>
  <c r="E8" i="4"/>
  <c r="E9" i="4"/>
  <c r="E97" i="4"/>
  <c r="E102" i="4"/>
  <c r="E106" i="4"/>
  <c r="E108" i="4"/>
  <c r="E109" i="4"/>
  <c r="E115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764" i="4"/>
  <c r="E773" i="4"/>
  <c r="E793" i="4"/>
  <c r="E811" i="4"/>
  <c r="E816" i="4"/>
  <c r="E823" i="4"/>
  <c r="E833" i="4"/>
  <c r="E944" i="4"/>
  <c r="E984" i="4"/>
  <c r="E992" i="4"/>
  <c r="E997" i="4"/>
  <c r="E1000" i="4"/>
  <c r="E1007" i="4"/>
  <c r="E1010" i="4"/>
  <c r="E1013" i="4"/>
  <c r="E1015" i="4"/>
  <c r="E1019" i="4"/>
  <c r="E1044" i="4"/>
  <c r="E1048" i="4"/>
  <c r="E1054" i="4"/>
  <c r="E1059" i="4"/>
  <c r="E1062" i="4"/>
  <c r="E4" i="4"/>
  <c r="E194" i="4"/>
  <c r="E195" i="4"/>
  <c r="E200" i="4"/>
  <c r="E217" i="4"/>
  <c r="E218" i="4"/>
  <c r="E221" i="4"/>
  <c r="E254" i="4"/>
  <c r="E262" i="4"/>
  <c r="E263" i="4"/>
  <c r="E265" i="4"/>
  <c r="E268" i="4"/>
  <c r="E272" i="4"/>
  <c r="E273" i="4"/>
  <c r="E196" i="4"/>
  <c r="E287" i="4"/>
  <c r="E290" i="4"/>
  <c r="E298" i="4"/>
  <c r="E306" i="4"/>
  <c r="E307" i="4"/>
  <c r="E308" i="4"/>
  <c r="E311" i="4"/>
  <c r="E313" i="4"/>
  <c r="E318" i="4"/>
  <c r="E322" i="4"/>
  <c r="E324" i="4"/>
  <c r="E325" i="4"/>
  <c r="E326" i="4"/>
  <c r="E327" i="4"/>
  <c r="E328" i="4"/>
  <c r="E332" i="4"/>
  <c r="E345" i="4"/>
  <c r="E349" i="4"/>
  <c r="E351" i="4"/>
  <c r="E352" i="4"/>
  <c r="E358" i="4"/>
  <c r="E360" i="4"/>
  <c r="E364" i="4"/>
  <c r="E373" i="4"/>
  <c r="E779" i="4"/>
  <c r="E785" i="4"/>
  <c r="E828" i="4"/>
  <c r="E952" i="4"/>
  <c r="E5" i="4"/>
  <c r="E378" i="4"/>
  <c r="E389" i="4"/>
  <c r="E391" i="4"/>
  <c r="E392" i="4"/>
  <c r="E395" i="4"/>
  <c r="E397" i="4"/>
  <c r="E402" i="4"/>
  <c r="E403" i="4"/>
  <c r="E405" i="4"/>
  <c r="E407" i="4"/>
  <c r="E408" i="4"/>
  <c r="E411" i="4"/>
  <c r="E415" i="4"/>
  <c r="E420" i="4"/>
  <c r="E422" i="4"/>
  <c r="E424" i="4"/>
  <c r="E435" i="4"/>
  <c r="E438" i="4"/>
  <c r="E441" i="4"/>
  <c r="E447" i="4"/>
  <c r="E454" i="4"/>
  <c r="E466" i="4"/>
  <c r="E381" i="4"/>
  <c r="E471" i="4"/>
  <c r="E479" i="4"/>
  <c r="E482" i="4"/>
  <c r="E489" i="4"/>
  <c r="E495" i="4"/>
  <c r="E514" i="4"/>
  <c r="E518" i="4"/>
  <c r="E520" i="4"/>
  <c r="E526" i="4"/>
  <c r="E547" i="4"/>
  <c r="E550" i="4"/>
  <c r="E552" i="4"/>
  <c r="E572" i="4"/>
  <c r="E579" i="4"/>
  <c r="E581" i="4"/>
  <c r="E645" i="4"/>
  <c r="E564" i="4"/>
  <c r="E660" i="4"/>
  <c r="E662" i="4"/>
  <c r="E664" i="4"/>
  <c r="E668" i="4"/>
  <c r="E705" i="4"/>
  <c r="E712" i="4"/>
  <c r="E718" i="4"/>
  <c r="E720" i="4"/>
  <c r="E744" i="4"/>
  <c r="E746" i="4"/>
  <c r="E750" i="4"/>
  <c r="E844" i="4"/>
  <c r="E875" i="4"/>
  <c r="E900" i="4"/>
  <c r="E903" i="4"/>
  <c r="G5" i="5"/>
  <c r="G6" i="5"/>
  <c r="K4" i="4" l="1"/>
  <c r="B8" i="7"/>
  <c r="C8" i="7" s="1"/>
  <c r="K6" i="4"/>
  <c r="K5" i="4"/>
  <c r="B7" i="7" l="1"/>
  <c r="C7" i="7" s="1"/>
  <c r="B10" i="7" s="1"/>
  <c r="K7" i="4"/>
  <c r="K8" i="4"/>
</calcChain>
</file>

<file path=xl/sharedStrings.xml><?xml version="1.0" encoding="utf-8"?>
<sst xmlns="http://schemas.openxmlformats.org/spreadsheetml/2006/main" count="118" uniqueCount="103">
  <si>
    <t>Cost of forecast error: assumptions and sensitivity</t>
  </si>
  <si>
    <t>Data-derived inputs come from the Rossmann Store Sales pipeline (Kaggle, not redistributed).</t>
  </si>
  <si>
    <t>What is real and what is assumed</t>
  </si>
  <si>
    <t>Rossmann has NO stock, orders, lead times, costs or unit prices. Every yellow cell on the Assumptions sheet is an ASSUMPTION with a low/high range. The grey cells on Data_inputs are forecast-error sizes measured on the validation months (2015-01-01 to 2015-06-24).</t>
  </si>
  <si>
    <t>Sales is daily turnover, not units. One 'unit' here is EUR 1 of turnover (unit price p = 1 is a normalisation, not an estimate). The currency itself is the community reading, not an official statement.</t>
  </si>
  <si>
    <t>The one quantified finding</t>
  </si>
  <si>
    <t>Extra expected cost per store-year when the daily forecast error behaves like a promotion day instead of an ordinary day, under an order-up-to policy with safety stock sized from the forecast error. Descriptive and assumption-driven: it is not a measured saving.</t>
  </si>
  <si>
    <t>Sheets: Assumptions (inputs) &gt; Data_inputs (measured errors) &gt; Finding (formulas, CI) &gt; Tornado &gt; TwoWay &gt; Checks.</t>
  </si>
  <si>
    <t>Errors are assumed uncorrelated across days when scaled by sqrt(R+L); the calibration table reports Ljung-Box so the optimism can be judged.</t>
  </si>
  <si>
    <t>Assumptions (yellow = ASSUMPTION, change me)</t>
  </si>
  <si>
    <t>Parameter</t>
  </si>
  <si>
    <t>Value</t>
  </si>
  <si>
    <t>Unit</t>
  </si>
  <si>
    <t>Low</t>
  </si>
  <si>
    <t>High</t>
  </si>
  <si>
    <t>Label</t>
  </si>
  <si>
    <t>Why this value</t>
  </si>
  <si>
    <t>Lead time L</t>
  </si>
  <si>
    <t>days</t>
  </si>
  <si>
    <t>ASSUMPTION</t>
  </si>
  <si>
    <t>Typical depot-to-store lead time; Rossmann provides none</t>
  </si>
  <si>
    <t>Review period R</t>
  </si>
  <si>
    <t>Weekly store ordering cycle</t>
  </si>
  <si>
    <t>Holding cost rate h</t>
  </si>
  <si>
    <t>per year</t>
  </si>
  <si>
    <t>Textbook retail carrying-cost range 20 to 30 percent</t>
  </si>
  <si>
    <t>Gross margin m (lost-sale cost)</t>
  </si>
  <si>
    <t>share of price</t>
  </si>
  <si>
    <t>Foregone margin proxy for one lost sale; no margin data exists</t>
  </si>
  <si>
    <t>Order cost K</t>
  </si>
  <si>
    <t>EUR per order</t>
  </si>
  <si>
    <t>Not part of the finding; shown for completeness</t>
  </si>
  <si>
    <t>Unit price p</t>
  </si>
  <si>
    <t>EUR per unit</t>
  </si>
  <si>
    <t>Normalisation: 1 unit = EUR 1 of turnover</t>
  </si>
  <si>
    <t>Cycle service level</t>
  </si>
  <si>
    <t>share</t>
  </si>
  <si>
    <t>Policy choice, not a cost</t>
  </si>
  <si>
    <t>z = NORMSINV(service level)</t>
  </si>
  <si>
    <t>DERIVED (formula)</t>
  </si>
  <si>
    <t>Unit cost c = p (1 - m)</t>
  </si>
  <si>
    <t>Loss function Lz = phi(z) - z (1 - Phi(z))</t>
  </si>
  <si>
    <t>k = extra EUR per year per EUR 1 of daily RMSE</t>
  </si>
  <si>
    <t>DATA-DERIVED: RMSE of the daily forecast error per store, validation months, horizons 1-14</t>
  </si>
  <si>
    <t>store</t>
  </si>
  <si>
    <t>ML rmse promo</t>
  </si>
  <si>
    <t>ML rmse non-promo</t>
  </si>
  <si>
    <t>n promo days</t>
  </si>
  <si>
    <t>n non-promo days</t>
  </si>
  <si>
    <t>mean daily sales</t>
  </si>
  <si>
    <t>seasonal-naive rmse promo</t>
  </si>
  <si>
    <t>seasonal-naive rmse non-promo</t>
  </si>
  <si>
    <t>Finding: extra cost per store-year, promo-like error minus ordinary-day error (EUR)</t>
  </si>
  <si>
    <t>delta rmse (ML)</t>
  </si>
  <si>
    <t>Extra cost promo (ML)</t>
  </si>
  <si>
    <t>Extra cost non-promo (ML)</t>
  </si>
  <si>
    <t>Finding (ML)</t>
  </si>
  <si>
    <t>delta rmse (seasonal naive)</t>
  </si>
  <si>
    <t>Finding (seasonal naive)</t>
  </si>
  <si>
    <t>Mean finding, ML forecast (EUR per store-year)</t>
  </si>
  <si>
    <t>SD across stores</t>
  </si>
  <si>
    <t>Stores (n)</t>
  </si>
  <si>
    <t>95% CI low (t, across stores)</t>
  </si>
  <si>
    <t>95% CI high (t, across stores)</t>
  </si>
  <si>
    <t>95% CI low (Python store bootstrap, static)</t>
  </si>
  <si>
    <t>95% CI high (Python store bootstrap, static)</t>
  </si>
  <si>
    <t>Mean finding, seasonal-naive forecast</t>
  </si>
  <si>
    <t>Mean delta rmse (ML), EUR per day</t>
  </si>
  <si>
    <t>Literal formula chain on the average store (ML), one line per step</t>
  </si>
  <si>
    <t>sigma promo = mean rmse promo</t>
  </si>
  <si>
    <t>sigma non-promo = mean rmse non-promo</t>
  </si>
  <si>
    <t>SS promo = z sigma sqrt(R+L)</t>
  </si>
  <si>
    <t>Holding promo = SS c h</t>
  </si>
  <si>
    <t>Shortage per cycle promo = sigma sqrt(R+L) Lz</t>
  </si>
  <si>
    <t>Shortage cost promo = (365/R) * that * m p</t>
  </si>
  <si>
    <t>Extra promo = Holding + Shortage</t>
  </si>
  <si>
    <t>SS non-promo</t>
  </si>
  <si>
    <t>Holding non-promo</t>
  </si>
  <si>
    <t>Shortage per cycle non-promo</t>
  </si>
  <si>
    <t>Shortage cost non-promo</t>
  </si>
  <si>
    <t>Extra non-promo</t>
  </si>
  <si>
    <t>FINDING = Extra promo - Extra non-promo (EUR per store-year)</t>
  </si>
  <si>
    <t>One-way sensitivity of the finding (EUR per store-year); order cost K does not enter the finding by construction</t>
  </si>
  <si>
    <t>Finding at low</t>
  </si>
  <si>
    <t>Finding at high</t>
  </si>
  <si>
    <t>Swing</t>
  </si>
  <si>
    <t>Rank</t>
  </si>
  <si>
    <t>Lead time L (days)</t>
  </si>
  <si>
    <t>Review period R (days)</t>
  </si>
  <si>
    <t>Holding rate h</t>
  </si>
  <si>
    <t>Margin m</t>
  </si>
  <si>
    <t>Order cost K (EUR)</t>
  </si>
  <si>
    <t>Finding (EUR per store-year): lead time L (rows) x margin m (columns)</t>
  </si>
  <si>
    <t>L \ m</t>
  </si>
  <si>
    <t>Sanity limit cases (live)</t>
  </si>
  <si>
    <t>Check</t>
  </si>
  <si>
    <t>Pass</t>
  </si>
  <si>
    <t>Zero error gives zero extra cost</t>
  </si>
  <si>
    <t>Equal promo and ordinary error gives zero finding</t>
  </si>
  <si>
    <t>Extra cost is increasing in sigma (2s minus s)</t>
  </si>
  <si>
    <t>Formula chain equals mean of per-store findings</t>
  </si>
  <si>
    <t>No error cells in the finding column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</si>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</sst>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color rgb="FF0000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/>
    <xf numFmtId="0" fontId="4" fillId="2" borderId="0" xfId="0" applyFont="1" applyFill="1" applyAlignment="1">
      <alignment vertical="center" wrapText="1"/>
    </xf>
    <xf numFmtId="0" fontId="5" fillId="3" borderId="0" xfId="0" applyFont="1" applyFill="1"/>
    <xf numFmtId="0" fontId="0" fillId="4" borderId="0" xfId="0" applyFill="1"/>
    <xf numFmtId="0" fontId="6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/>
  </sheetViews>
  <sheetFormatPr defaultRowHeight="14.4" x14ac:dyDescent="0.3"/>
  <cols>
    <col min="1" max="1" width="110" customWidth="1"/>
  </cols>
  <sheetData>
    <row r="1" spans="1:1" ht="15.6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3"/>
    </row>
    <row r="4" spans="1:1" x14ac:dyDescent="0.3">
      <c r="A4" s="2" t="s">
        <v>2</v>
      </c>
    </row>
    <row r="5" spans="1:1" ht="43.2" x14ac:dyDescent="0.3">
      <c r="A5" s="3" t="s">
        <v>3</v>
      </c>
    </row>
    <row r="6" spans="1:1" ht="28.8" x14ac:dyDescent="0.3">
      <c r="A6" s="3" t="s">
        <v>4</v>
      </c>
    </row>
    <row r="7" spans="1:1" x14ac:dyDescent="0.3">
      <c r="A7" s="3"/>
    </row>
    <row r="8" spans="1:1" x14ac:dyDescent="0.3">
      <c r="A8" s="2" t="s">
        <v>5</v>
      </c>
    </row>
    <row r="9" spans="1:1" ht="43.2" x14ac:dyDescent="0.3">
      <c r="A9" s="3" t="s">
        <v>6</v>
      </c>
    </row>
    <row r="10" spans="1:1" x14ac:dyDescent="0.3">
      <c r="A10" s="3" t="s">
        <v>7</v>
      </c>
    </row>
    <row r="11" spans="1:1" ht="28.8" x14ac:dyDescent="0.3">
      <c r="A11" s="3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workbookViewId="0"/>
  </sheetViews>
  <sheetFormatPr defaultRowHeight="14.4" x14ac:dyDescent="0.3"/>
  <cols>
    <col min="1" max="1" width="46" customWidth="1"/>
    <col min="2" max="2" width="12" customWidth="1"/>
    <col min="3" max="3" width="16" customWidth="1"/>
    <col min="4" max="5" width="9" customWidth="1"/>
    <col min="6" max="6" width="18" customWidth="1"/>
    <col min="7" max="7" width="60" customWidth="1"/>
  </cols>
  <sheetData>
    <row r="1" spans="1:7" ht="15.6" x14ac:dyDescent="0.3">
      <c r="A1" s="4" t="s">
        <v>9</v>
      </c>
    </row>
    <row r="3" spans="1:7" x14ac:dyDescent="0.3">
      <c r="A3" s="5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  <c r="G3" s="5" t="s">
        <v>16</v>
      </c>
    </row>
    <row r="4" spans="1:7" x14ac:dyDescent="0.3">
      <c r="A4" t="s">
        <v>17</v>
      </c>
      <c r="B4" s="6">
        <v>5</v>
      </c>
      <c r="C4" t="s">
        <v>18</v>
      </c>
      <c r="D4">
        <v>2</v>
      </c>
      <c r="E4">
        <v>10</v>
      </c>
      <c r="F4" t="s">
        <v>19</v>
      </c>
      <c r="G4" t="s">
        <v>20</v>
      </c>
    </row>
    <row r="5" spans="1:7" x14ac:dyDescent="0.3">
      <c r="A5" t="s">
        <v>21</v>
      </c>
      <c r="B5" s="6">
        <v>7</v>
      </c>
      <c r="C5" t="s">
        <v>18</v>
      </c>
      <c r="D5">
        <v>1</v>
      </c>
      <c r="E5">
        <v>14</v>
      </c>
      <c r="F5" t="s">
        <v>19</v>
      </c>
      <c r="G5" t="s">
        <v>22</v>
      </c>
    </row>
    <row r="6" spans="1:7" x14ac:dyDescent="0.3">
      <c r="A6" t="s">
        <v>23</v>
      </c>
      <c r="B6" s="6">
        <v>0.25</v>
      </c>
      <c r="C6" t="s">
        <v>24</v>
      </c>
      <c r="D6">
        <v>0.15</v>
      </c>
      <c r="E6">
        <v>0.35</v>
      </c>
      <c r="F6" t="s">
        <v>19</v>
      </c>
      <c r="G6" t="s">
        <v>25</v>
      </c>
    </row>
    <row r="7" spans="1:7" x14ac:dyDescent="0.3">
      <c r="A7" t="s">
        <v>26</v>
      </c>
      <c r="B7" s="6">
        <v>0.3</v>
      </c>
      <c r="C7" t="s">
        <v>27</v>
      </c>
      <c r="D7">
        <v>0.15</v>
      </c>
      <c r="E7">
        <v>0.5</v>
      </c>
      <c r="F7" t="s">
        <v>19</v>
      </c>
      <c r="G7" t="s">
        <v>28</v>
      </c>
    </row>
    <row r="8" spans="1:7" x14ac:dyDescent="0.3">
      <c r="A8" t="s">
        <v>29</v>
      </c>
      <c r="B8" s="6">
        <v>50</v>
      </c>
      <c r="C8" t="s">
        <v>30</v>
      </c>
      <c r="D8">
        <v>10</v>
      </c>
      <c r="E8">
        <v>150</v>
      </c>
      <c r="F8" t="s">
        <v>19</v>
      </c>
      <c r="G8" t="s">
        <v>31</v>
      </c>
    </row>
    <row r="9" spans="1:7" x14ac:dyDescent="0.3">
      <c r="A9" t="s">
        <v>32</v>
      </c>
      <c r="B9" s="6">
        <v>1</v>
      </c>
      <c r="C9" t="s">
        <v>33</v>
      </c>
      <c r="F9" t="s">
        <v>19</v>
      </c>
      <c r="G9" t="s">
        <v>34</v>
      </c>
    </row>
    <row r="10" spans="1:7" x14ac:dyDescent="0.3">
      <c r="A10" t="s">
        <v>35</v>
      </c>
      <c r="B10" s="6">
        <v>0.95</v>
      </c>
      <c r="C10" t="s">
        <v>36</v>
      </c>
      <c r="F10" t="s">
        <v>19</v>
      </c>
      <c r="G10" t="s">
        <v>37</v>
      </c>
    </row>
    <row r="11" spans="1:7" x14ac:dyDescent="0.3">
      <c r="A11" t="s">
        <v>38</v>
      </c>
      <c r="B11">
        <f>NORMSINV(ServiceLevel)</f>
        <v>1.6448536269514715</v>
      </c>
      <c r="F11" t="s">
        <v>39</v>
      </c>
    </row>
    <row r="12" spans="1:7" x14ac:dyDescent="0.3">
      <c r="A12" t="s">
        <v>40</v>
      </c>
      <c r="B12">
        <f>UnitPrice_p*(1-Margin_m)</f>
        <v>0.7</v>
      </c>
      <c r="F12" t="s">
        <v>39</v>
      </c>
    </row>
    <row r="13" spans="1:7" x14ac:dyDescent="0.3">
      <c r="A13" t="s">
        <v>41</v>
      </c>
      <c r="B13">
        <f>NORMDIST(ServiceZ,0,1,FALSE)-ServiceZ*(1-NORMSDIST(ServiceZ))</f>
        <v>2.0892959027797683E-2</v>
      </c>
      <c r="F13" t="s">
        <v>39</v>
      </c>
    </row>
    <row r="14" spans="1:7" x14ac:dyDescent="0.3">
      <c r="A14" t="s">
        <v>42</v>
      </c>
      <c r="B14">
        <f>SQRT(ReviewPeriod_R+LeadTime_L)*(ServiceZ*UnitPrice_p*(1-Margin_m)*HoldRate_h+(365/ReviewPeriod_R)*(NORMDIST(ServiceZ,0,1,FALSE)-ServiceZ*(1-NORMSDIST(ServiceZ)))*Margin_m*UnitPrice_p)</f>
        <v>2.1292965150693619</v>
      </c>
      <c r="F14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18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8" width="16" customWidth="1"/>
  </cols>
  <sheetData>
    <row r="1" spans="1:8" ht="15.6" x14ac:dyDescent="0.3">
      <c r="A1" s="4" t="s">
        <v>43</v>
      </c>
    </row>
    <row r="3" spans="1:8" ht="28.8" x14ac:dyDescent="0.3">
      <c r="A3" s="5" t="s">
        <v>44</v>
      </c>
      <c r="B3" s="5" t="s">
        <v>45</v>
      </c>
      <c r="C3" s="5" t="s">
        <v>46</v>
      </c>
      <c r="D3" s="5" t="s">
        <v>47</v>
      </c>
      <c r="E3" s="5" t="s">
        <v>48</v>
      </c>
      <c r="F3" s="5" t="s">
        <v>49</v>
      </c>
      <c r="G3" s="5" t="s">
        <v>50</v>
      </c>
      <c r="H3" s="5" t="s">
        <v>51</v>
      </c>
    </row>
    <row r="4" spans="1:8" x14ac:dyDescent="0.3">
      <c r="A4" s="7">
        <v>1</v>
      </c>
      <c r="B4" s="7">
        <v>846.02999714439181</v>
      </c>
      <c r="C4" s="7">
        <v>433.89392435406342</v>
      </c>
      <c r="D4" s="7">
        <v>129</v>
      </c>
      <c r="E4" s="7">
        <v>146</v>
      </c>
      <c r="F4" s="7">
        <v>4539.778181818182</v>
      </c>
      <c r="G4" s="7">
        <v>1498.776128619925</v>
      </c>
      <c r="H4" s="7">
        <v>1135.6287981216781</v>
      </c>
    </row>
    <row r="5" spans="1:8" x14ac:dyDescent="0.3">
      <c r="A5" s="7">
        <v>2</v>
      </c>
      <c r="B5" s="7">
        <v>746.59510590405603</v>
      </c>
      <c r="C5" s="7">
        <v>456.92929282850122</v>
      </c>
      <c r="D5" s="7">
        <v>131</v>
      </c>
      <c r="E5" s="7">
        <v>146</v>
      </c>
      <c r="F5" s="7">
        <v>4986.4548736462093</v>
      </c>
      <c r="G5" s="7">
        <v>1861.0798002505869</v>
      </c>
      <c r="H5" s="7">
        <v>1584.960286439077</v>
      </c>
    </row>
    <row r="6" spans="1:8" x14ac:dyDescent="0.3">
      <c r="A6" s="7">
        <v>3</v>
      </c>
      <c r="B6" s="7">
        <v>938.50597128226298</v>
      </c>
      <c r="C6" s="7">
        <v>628.61259215190421</v>
      </c>
      <c r="D6" s="7">
        <v>129</v>
      </c>
      <c r="E6" s="7">
        <v>146</v>
      </c>
      <c r="F6" s="7">
        <v>6878.869090909091</v>
      </c>
      <c r="G6" s="7">
        <v>2462.4621084717051</v>
      </c>
      <c r="H6" s="7">
        <v>2165.4506680805289</v>
      </c>
    </row>
    <row r="7" spans="1:8" x14ac:dyDescent="0.3">
      <c r="A7" s="7">
        <v>4</v>
      </c>
      <c r="B7" s="7">
        <v>1360.81258229584</v>
      </c>
      <c r="C7" s="7">
        <v>833.6773748020604</v>
      </c>
      <c r="D7" s="7">
        <v>131</v>
      </c>
      <c r="E7" s="7">
        <v>146</v>
      </c>
      <c r="F7" s="7">
        <v>9778.8050541516241</v>
      </c>
      <c r="G7" s="7">
        <v>3054.3269307655978</v>
      </c>
      <c r="H7" s="7">
        <v>2337.2739272406438</v>
      </c>
    </row>
    <row r="8" spans="1:8" x14ac:dyDescent="0.3">
      <c r="A8" s="7">
        <v>5</v>
      </c>
      <c r="B8" s="7">
        <v>632.36555934475405</v>
      </c>
      <c r="C8" s="7">
        <v>391.4113215985841</v>
      </c>
      <c r="D8" s="7">
        <v>131</v>
      </c>
      <c r="E8" s="7">
        <v>146</v>
      </c>
      <c r="F8" s="7">
        <v>4647.6173285198556</v>
      </c>
      <c r="G8" s="7">
        <v>1718.5656743631409</v>
      </c>
      <c r="H8" s="7">
        <v>1489.2747499443869</v>
      </c>
    </row>
    <row r="9" spans="1:8" x14ac:dyDescent="0.3">
      <c r="A9" s="7">
        <v>6</v>
      </c>
      <c r="B9" s="7">
        <v>767.56827512956158</v>
      </c>
      <c r="C9" s="7">
        <v>372.94466888983669</v>
      </c>
      <c r="D9" s="7">
        <v>131</v>
      </c>
      <c r="E9" s="7">
        <v>146</v>
      </c>
      <c r="F9" s="7">
        <v>4811.6389891696754</v>
      </c>
      <c r="G9" s="7">
        <v>1583.0119518483291</v>
      </c>
      <c r="H9" s="7">
        <v>1356.0172393537839</v>
      </c>
    </row>
    <row r="10" spans="1:8" x14ac:dyDescent="0.3">
      <c r="A10" s="7">
        <v>7</v>
      </c>
      <c r="B10" s="7">
        <v>1258.651837979729</v>
      </c>
      <c r="C10" s="7">
        <v>978.63864566659572</v>
      </c>
      <c r="D10" s="7">
        <v>131</v>
      </c>
      <c r="E10" s="7">
        <v>146</v>
      </c>
      <c r="F10" s="7">
        <v>8692.5054151624554</v>
      </c>
      <c r="G10" s="7">
        <v>2724.5524711296962</v>
      </c>
      <c r="H10" s="7">
        <v>2584.9408249499929</v>
      </c>
    </row>
    <row r="11" spans="1:8" x14ac:dyDescent="0.3">
      <c r="A11" s="7">
        <v>8</v>
      </c>
      <c r="B11" s="7">
        <v>832.49484646789267</v>
      </c>
      <c r="C11" s="7">
        <v>554.67747566335981</v>
      </c>
      <c r="D11" s="7">
        <v>131</v>
      </c>
      <c r="E11" s="7">
        <v>146</v>
      </c>
      <c r="F11" s="7">
        <v>6270.5415162454874</v>
      </c>
      <c r="G11" s="7">
        <v>1949.1039162486641</v>
      </c>
      <c r="H11" s="7">
        <v>1710.892857505406</v>
      </c>
    </row>
    <row r="12" spans="1:8" x14ac:dyDescent="0.3">
      <c r="A12" s="7">
        <v>9</v>
      </c>
      <c r="B12" s="7">
        <v>848.49009921607887</v>
      </c>
      <c r="C12" s="7">
        <v>622.13577332877037</v>
      </c>
      <c r="D12" s="7">
        <v>129</v>
      </c>
      <c r="E12" s="7">
        <v>146</v>
      </c>
      <c r="F12" s="7">
        <v>7568.5127272727277</v>
      </c>
      <c r="G12" s="7">
        <v>2040.8419147327979</v>
      </c>
      <c r="H12" s="7">
        <v>1876.794246537328</v>
      </c>
    </row>
    <row r="13" spans="1:8" x14ac:dyDescent="0.3">
      <c r="A13" s="7">
        <v>10</v>
      </c>
      <c r="B13" s="7">
        <v>730.74586454481766</v>
      </c>
      <c r="C13" s="7">
        <v>566.441754235384</v>
      </c>
      <c r="D13" s="7">
        <v>131</v>
      </c>
      <c r="E13" s="7">
        <v>146</v>
      </c>
      <c r="F13" s="7">
        <v>5784.2418772563178</v>
      </c>
      <c r="G13" s="7">
        <v>1232.747047225321</v>
      </c>
      <c r="H13" s="7">
        <v>1126.8240585398009</v>
      </c>
    </row>
    <row r="14" spans="1:8" x14ac:dyDescent="0.3">
      <c r="A14" s="7">
        <v>11</v>
      </c>
      <c r="B14" s="7">
        <v>1565.6464506320331</v>
      </c>
      <c r="C14" s="7">
        <v>924.00455882666313</v>
      </c>
      <c r="D14" s="7">
        <v>131</v>
      </c>
      <c r="E14" s="7">
        <v>146</v>
      </c>
      <c r="F14" s="7">
        <v>7516.743682310469</v>
      </c>
      <c r="G14" s="7">
        <v>2658.5661922309332</v>
      </c>
      <c r="H14" s="7">
        <v>2063.3593983718192</v>
      </c>
    </row>
    <row r="15" spans="1:8" x14ac:dyDescent="0.3">
      <c r="A15" s="7">
        <v>12</v>
      </c>
      <c r="B15" s="7">
        <v>1102.5677223004541</v>
      </c>
      <c r="C15" s="7">
        <v>812.37036731417686</v>
      </c>
      <c r="D15" s="7">
        <v>131</v>
      </c>
      <c r="E15" s="7">
        <v>146</v>
      </c>
      <c r="F15" s="7">
        <v>7861.3285198555959</v>
      </c>
      <c r="G15" s="7">
        <v>2850.263618449439</v>
      </c>
      <c r="H15" s="7">
        <v>2587.676296687504</v>
      </c>
    </row>
    <row r="16" spans="1:8" x14ac:dyDescent="0.3">
      <c r="A16" s="7">
        <v>13</v>
      </c>
      <c r="B16" s="7">
        <v>2081.1833778393179</v>
      </c>
      <c r="C16" s="7">
        <v>957.59447945657314</v>
      </c>
      <c r="D16" s="7">
        <v>128</v>
      </c>
      <c r="E16" s="7">
        <v>146</v>
      </c>
      <c r="F16" s="7">
        <v>5156.9635036496347</v>
      </c>
      <c r="G16" s="7">
        <v>2094.6609995712911</v>
      </c>
      <c r="H16" s="7">
        <v>2136.604748032511</v>
      </c>
    </row>
    <row r="17" spans="1:8" x14ac:dyDescent="0.3">
      <c r="A17" s="7">
        <v>14</v>
      </c>
      <c r="B17" s="7">
        <v>760.91137973173682</v>
      </c>
      <c r="C17" s="7">
        <v>497.40280561112348</v>
      </c>
      <c r="D17" s="7">
        <v>129</v>
      </c>
      <c r="E17" s="7">
        <v>146</v>
      </c>
      <c r="F17" s="7">
        <v>5595.9963636363636</v>
      </c>
      <c r="G17" s="7">
        <v>1454.9694927407249</v>
      </c>
      <c r="H17" s="7">
        <v>1247.3472207212781</v>
      </c>
    </row>
    <row r="18" spans="1:8" x14ac:dyDescent="0.3">
      <c r="A18" s="7">
        <v>15</v>
      </c>
      <c r="B18" s="7">
        <v>1109.9152048927649</v>
      </c>
      <c r="C18" s="7">
        <v>653.35492894687616</v>
      </c>
      <c r="D18" s="7">
        <v>131</v>
      </c>
      <c r="E18" s="7">
        <v>146</v>
      </c>
      <c r="F18" s="7">
        <v>6878.097472924188</v>
      </c>
      <c r="G18" s="7">
        <v>2293.796859038383</v>
      </c>
      <c r="H18" s="7">
        <v>1960.7898691493961</v>
      </c>
    </row>
    <row r="19" spans="1:8" x14ac:dyDescent="0.3">
      <c r="A19" s="7">
        <v>16</v>
      </c>
      <c r="B19" s="7">
        <v>957.28129815877026</v>
      </c>
      <c r="C19" s="7">
        <v>717.4863925348335</v>
      </c>
      <c r="D19" s="7">
        <v>128</v>
      </c>
      <c r="E19" s="7">
        <v>146</v>
      </c>
      <c r="F19" s="7">
        <v>8065.9270072992704</v>
      </c>
      <c r="G19" s="7">
        <v>2207.793203206541</v>
      </c>
      <c r="H19" s="7">
        <v>1856.285272715008</v>
      </c>
    </row>
    <row r="20" spans="1:8" x14ac:dyDescent="0.3">
      <c r="A20" s="7">
        <v>17</v>
      </c>
      <c r="B20" s="7">
        <v>780.9509448162845</v>
      </c>
      <c r="C20" s="7">
        <v>545.00003318411382</v>
      </c>
      <c r="D20" s="7">
        <v>131</v>
      </c>
      <c r="E20" s="7">
        <v>146</v>
      </c>
      <c r="F20" s="7">
        <v>6273.8772563176899</v>
      </c>
      <c r="G20" s="7">
        <v>2538.646346935539</v>
      </c>
      <c r="H20" s="7">
        <v>2298.228908624716</v>
      </c>
    </row>
    <row r="21" spans="1:8" x14ac:dyDescent="0.3">
      <c r="A21" s="7">
        <v>18</v>
      </c>
      <c r="B21" s="7">
        <v>941.96456151722145</v>
      </c>
      <c r="C21" s="7">
        <v>641.75458059162952</v>
      </c>
      <c r="D21" s="7">
        <v>131</v>
      </c>
      <c r="E21" s="7">
        <v>146</v>
      </c>
      <c r="F21" s="7">
        <v>7031.0794223826724</v>
      </c>
      <c r="G21" s="7">
        <v>2136.4705324150541</v>
      </c>
      <c r="H21" s="7">
        <v>1946.278908337933</v>
      </c>
    </row>
    <row r="22" spans="1:8" x14ac:dyDescent="0.3">
      <c r="A22" s="7">
        <v>19</v>
      </c>
      <c r="B22" s="7">
        <v>1001.966282827206</v>
      </c>
      <c r="C22" s="7">
        <v>710.32100837847815</v>
      </c>
      <c r="D22" s="7">
        <v>129</v>
      </c>
      <c r="E22" s="7">
        <v>146</v>
      </c>
      <c r="F22" s="7">
        <v>6894.5090909090914</v>
      </c>
      <c r="G22" s="7">
        <v>2197.8286765516709</v>
      </c>
      <c r="H22" s="7">
        <v>1844.8074685154579</v>
      </c>
    </row>
    <row r="23" spans="1:8" x14ac:dyDescent="0.3">
      <c r="A23" s="7">
        <v>20</v>
      </c>
      <c r="B23" s="7">
        <v>1729.1200057127719</v>
      </c>
      <c r="C23" s="7">
        <v>1599.8236932594909</v>
      </c>
      <c r="D23" s="7">
        <v>128</v>
      </c>
      <c r="E23" s="7">
        <v>146</v>
      </c>
      <c r="F23" s="7">
        <v>8191.2664233576643</v>
      </c>
      <c r="G23" s="7">
        <v>1343.798013677093</v>
      </c>
      <c r="H23" s="7">
        <v>1296.1910215641681</v>
      </c>
    </row>
    <row r="24" spans="1:8" x14ac:dyDescent="0.3">
      <c r="A24" s="7">
        <v>21</v>
      </c>
      <c r="B24" s="7">
        <v>961.59233188208634</v>
      </c>
      <c r="C24" s="7">
        <v>727.13684167648705</v>
      </c>
      <c r="D24" s="7">
        <v>128</v>
      </c>
      <c r="E24" s="7">
        <v>146</v>
      </c>
      <c r="F24" s="7">
        <v>5690.8102189781021</v>
      </c>
      <c r="G24" s="7">
        <v>2568.5881913757598</v>
      </c>
      <c r="H24" s="7">
        <v>2291.107726938731</v>
      </c>
    </row>
    <row r="25" spans="1:8" x14ac:dyDescent="0.3">
      <c r="A25" s="7">
        <v>22</v>
      </c>
      <c r="B25" s="7">
        <v>2111.0103642026129</v>
      </c>
      <c r="C25" s="7">
        <v>938.89608465447429</v>
      </c>
      <c r="D25" s="7">
        <v>128</v>
      </c>
      <c r="E25" s="7">
        <v>144</v>
      </c>
      <c r="F25" s="7">
        <v>4639.2352941176468</v>
      </c>
      <c r="G25" s="7">
        <v>1308.898412669027</v>
      </c>
      <c r="H25" s="7">
        <v>1386.454405829649</v>
      </c>
    </row>
    <row r="26" spans="1:8" x14ac:dyDescent="0.3">
      <c r="A26" s="7">
        <v>23</v>
      </c>
      <c r="B26" s="7">
        <v>943.14647311577437</v>
      </c>
      <c r="C26" s="7">
        <v>479.5663876495322</v>
      </c>
      <c r="D26" s="7">
        <v>129</v>
      </c>
      <c r="E26" s="7">
        <v>146</v>
      </c>
      <c r="F26" s="7">
        <v>5577.3236363636361</v>
      </c>
      <c r="G26" s="7">
        <v>2189.5189553447472</v>
      </c>
      <c r="H26" s="7">
        <v>1899.6459168984729</v>
      </c>
    </row>
    <row r="27" spans="1:8" x14ac:dyDescent="0.3">
      <c r="A27" s="7">
        <v>24</v>
      </c>
      <c r="B27" s="7">
        <v>1328.1006430718801</v>
      </c>
      <c r="C27" s="7">
        <v>814.08907692281139</v>
      </c>
      <c r="D27" s="7">
        <v>129</v>
      </c>
      <c r="E27" s="7">
        <v>146</v>
      </c>
      <c r="F27" s="7">
        <v>9994.6945454545457</v>
      </c>
      <c r="G27" s="7">
        <v>3441.759272737253</v>
      </c>
      <c r="H27" s="7">
        <v>2937.563912449571</v>
      </c>
    </row>
    <row r="28" spans="1:8" x14ac:dyDescent="0.3">
      <c r="A28" s="7">
        <v>25</v>
      </c>
      <c r="B28" s="7">
        <v>1578.6410366920229</v>
      </c>
      <c r="C28" s="7">
        <v>1344.568519700171</v>
      </c>
      <c r="D28" s="7">
        <v>127</v>
      </c>
      <c r="E28" s="7">
        <v>146</v>
      </c>
      <c r="F28" s="7">
        <v>11061.622710622711</v>
      </c>
      <c r="G28" s="7">
        <v>3256.5401922319411</v>
      </c>
      <c r="H28" s="7">
        <v>2757.4156167617612</v>
      </c>
    </row>
    <row r="29" spans="1:8" x14ac:dyDescent="0.3">
      <c r="A29" s="7">
        <v>26</v>
      </c>
      <c r="B29" s="7">
        <v>1018.199530764334</v>
      </c>
      <c r="C29" s="7">
        <v>618.3964155077374</v>
      </c>
      <c r="D29" s="7">
        <v>131</v>
      </c>
      <c r="E29" s="7">
        <v>146</v>
      </c>
      <c r="F29" s="7">
        <v>6880.2527075812277</v>
      </c>
      <c r="G29" s="7">
        <v>2715.5364602920681</v>
      </c>
      <c r="H29" s="7">
        <v>2449.577862710114</v>
      </c>
    </row>
    <row r="30" spans="1:8" x14ac:dyDescent="0.3">
      <c r="A30" s="7">
        <v>27</v>
      </c>
      <c r="B30" s="7">
        <v>1180.8424454769579</v>
      </c>
      <c r="C30" s="7">
        <v>774.8641326672182</v>
      </c>
      <c r="D30" s="7">
        <v>129</v>
      </c>
      <c r="E30" s="7">
        <v>146</v>
      </c>
      <c r="F30" s="7">
        <v>9790.6654545454548</v>
      </c>
      <c r="G30" s="7">
        <v>3824.145829539113</v>
      </c>
      <c r="H30" s="7">
        <v>3344.2775321926811</v>
      </c>
    </row>
    <row r="31" spans="1:8" x14ac:dyDescent="0.3">
      <c r="A31" s="7">
        <v>28</v>
      </c>
      <c r="B31" s="7">
        <v>624.10724413386333</v>
      </c>
      <c r="C31" s="7">
        <v>515.93484185019122</v>
      </c>
      <c r="D31" s="7">
        <v>130</v>
      </c>
      <c r="E31" s="7">
        <v>146</v>
      </c>
      <c r="F31" s="7">
        <v>4677.442028985507</v>
      </c>
      <c r="G31" s="7">
        <v>2004.0117073203251</v>
      </c>
      <c r="H31" s="7">
        <v>1722.5270182981519</v>
      </c>
    </row>
    <row r="32" spans="1:8" x14ac:dyDescent="0.3">
      <c r="A32" s="7">
        <v>29</v>
      </c>
      <c r="B32" s="7">
        <v>1141.49569747342</v>
      </c>
      <c r="C32" s="7">
        <v>711.19425819116827</v>
      </c>
      <c r="D32" s="7">
        <v>129</v>
      </c>
      <c r="E32" s="7">
        <v>146</v>
      </c>
      <c r="F32" s="7">
        <v>8501.556363636364</v>
      </c>
      <c r="G32" s="7">
        <v>3093.6195015151811</v>
      </c>
      <c r="H32" s="7">
        <v>2770.3271689978551</v>
      </c>
    </row>
    <row r="33" spans="1:8" x14ac:dyDescent="0.3">
      <c r="A33" s="7">
        <v>30</v>
      </c>
      <c r="B33" s="7">
        <v>813.17933323089903</v>
      </c>
      <c r="C33" s="7">
        <v>533.72498303182647</v>
      </c>
      <c r="D33" s="7">
        <v>127</v>
      </c>
      <c r="E33" s="7">
        <v>146</v>
      </c>
      <c r="F33" s="7">
        <v>4499.2820512820517</v>
      </c>
      <c r="G33" s="7">
        <v>1739.5113645508541</v>
      </c>
      <c r="H33" s="7">
        <v>1551.255306968282</v>
      </c>
    </row>
    <row r="34" spans="1:8" x14ac:dyDescent="0.3">
      <c r="A34" s="7">
        <v>31</v>
      </c>
      <c r="B34" s="7">
        <v>998.54303416521213</v>
      </c>
      <c r="C34" s="7">
        <v>615.99714330632423</v>
      </c>
      <c r="D34" s="7">
        <v>131</v>
      </c>
      <c r="E34" s="7">
        <v>146</v>
      </c>
      <c r="F34" s="7">
        <v>5793.2599277978343</v>
      </c>
      <c r="G34" s="7">
        <v>1938.609444976649</v>
      </c>
      <c r="H34" s="7">
        <v>1641.222316379113</v>
      </c>
    </row>
    <row r="35" spans="1:8" x14ac:dyDescent="0.3">
      <c r="A35" s="7">
        <v>32</v>
      </c>
      <c r="B35" s="7">
        <v>2265.1819009990741</v>
      </c>
      <c r="C35" s="7">
        <v>1019.027033174492</v>
      </c>
      <c r="D35" s="7">
        <v>128</v>
      </c>
      <c r="E35" s="7">
        <v>146</v>
      </c>
      <c r="F35" s="7">
        <v>4097.4963503649633</v>
      </c>
      <c r="G35" s="7">
        <v>1350.5367133338141</v>
      </c>
      <c r="H35" s="7">
        <v>1340.742760817649</v>
      </c>
    </row>
    <row r="36" spans="1:8" x14ac:dyDescent="0.3">
      <c r="A36" s="7">
        <v>33</v>
      </c>
      <c r="B36" s="7">
        <v>1059.749007663057</v>
      </c>
      <c r="C36" s="7">
        <v>727.57352214179957</v>
      </c>
      <c r="D36" s="7">
        <v>129</v>
      </c>
      <c r="E36" s="7">
        <v>146</v>
      </c>
      <c r="F36" s="7">
        <v>8473.9599999999991</v>
      </c>
      <c r="G36" s="7">
        <v>2293.5877348979739</v>
      </c>
      <c r="H36" s="7">
        <v>2051.1422043499938</v>
      </c>
    </row>
    <row r="37" spans="1:8" x14ac:dyDescent="0.3">
      <c r="A37" s="7">
        <v>34</v>
      </c>
      <c r="B37" s="7">
        <v>907.85476702218477</v>
      </c>
      <c r="C37" s="7">
        <v>602.74673447832072</v>
      </c>
      <c r="D37" s="7">
        <v>131</v>
      </c>
      <c r="E37" s="7">
        <v>146</v>
      </c>
      <c r="F37" s="7">
        <v>8105.2671480144409</v>
      </c>
      <c r="G37" s="7">
        <v>2004.8675728668029</v>
      </c>
      <c r="H37" s="7">
        <v>1621.4875738206549</v>
      </c>
    </row>
    <row r="38" spans="1:8" x14ac:dyDescent="0.3">
      <c r="A38" s="7">
        <v>35</v>
      </c>
      <c r="B38" s="7">
        <v>1540.4281856320019</v>
      </c>
      <c r="C38" s="7">
        <v>829.289751988631</v>
      </c>
      <c r="D38" s="7">
        <v>129</v>
      </c>
      <c r="E38" s="7">
        <v>146</v>
      </c>
      <c r="F38" s="7">
        <v>10856.77090909091</v>
      </c>
      <c r="G38" s="7">
        <v>4463.3259238291776</v>
      </c>
      <c r="H38" s="7">
        <v>3839.9744630286709</v>
      </c>
    </row>
    <row r="39" spans="1:8" x14ac:dyDescent="0.3">
      <c r="A39" s="7">
        <v>36</v>
      </c>
      <c r="B39" s="7">
        <v>1681.7322870525261</v>
      </c>
      <c r="C39" s="7">
        <v>1050.882241303402</v>
      </c>
      <c r="D39" s="7">
        <v>128</v>
      </c>
      <c r="E39" s="7">
        <v>146</v>
      </c>
      <c r="F39" s="7">
        <v>9584.4306569343062</v>
      </c>
      <c r="G39" s="7">
        <v>1955.9931121268039</v>
      </c>
      <c r="H39" s="7">
        <v>1789.0962840771399</v>
      </c>
    </row>
    <row r="40" spans="1:8" x14ac:dyDescent="0.3">
      <c r="A40" s="7">
        <v>37</v>
      </c>
      <c r="B40" s="7">
        <v>1105.154874896516</v>
      </c>
      <c r="C40" s="7">
        <v>764.26358475721872</v>
      </c>
      <c r="D40" s="7">
        <v>130</v>
      </c>
      <c r="E40" s="7">
        <v>146</v>
      </c>
      <c r="F40" s="7">
        <v>6771.028985507246</v>
      </c>
      <c r="G40" s="7">
        <v>2416.057822155753</v>
      </c>
      <c r="H40" s="7">
        <v>2254.145930660286</v>
      </c>
    </row>
    <row r="41" spans="1:8" x14ac:dyDescent="0.3">
      <c r="A41" s="7">
        <v>38</v>
      </c>
      <c r="B41" s="7">
        <v>997.79107898126097</v>
      </c>
      <c r="C41" s="7">
        <v>691.19273151998868</v>
      </c>
      <c r="D41" s="7">
        <v>129</v>
      </c>
      <c r="E41" s="7">
        <v>146</v>
      </c>
      <c r="F41" s="7">
        <v>6245.1381818181817</v>
      </c>
      <c r="G41" s="7">
        <v>2536.5962025071399</v>
      </c>
      <c r="H41" s="7">
        <v>2259.491581192427</v>
      </c>
    </row>
    <row r="42" spans="1:8" x14ac:dyDescent="0.3">
      <c r="A42" s="7">
        <v>39</v>
      </c>
      <c r="B42" s="7">
        <v>1655.852020170171</v>
      </c>
      <c r="C42" s="7">
        <v>1182.1212299490689</v>
      </c>
      <c r="D42" s="7">
        <v>129</v>
      </c>
      <c r="E42" s="7">
        <v>146</v>
      </c>
      <c r="F42" s="7">
        <v>5495.5018181818186</v>
      </c>
      <c r="G42" s="7">
        <v>2467.9513802957858</v>
      </c>
      <c r="H42" s="7">
        <v>2079.6006136584901</v>
      </c>
    </row>
    <row r="43" spans="1:8" x14ac:dyDescent="0.3">
      <c r="A43" s="7">
        <v>40</v>
      </c>
      <c r="B43" s="7">
        <v>820.91343194598971</v>
      </c>
      <c r="C43" s="7">
        <v>626.30558609867546</v>
      </c>
      <c r="D43" s="7">
        <v>127</v>
      </c>
      <c r="E43" s="7">
        <v>146</v>
      </c>
      <c r="F43" s="7">
        <v>4279.1282051282051</v>
      </c>
      <c r="G43" s="7">
        <v>1231.4787890475479</v>
      </c>
      <c r="H43" s="7">
        <v>1121.308317308738</v>
      </c>
    </row>
    <row r="44" spans="1:8" x14ac:dyDescent="0.3">
      <c r="A44" s="7">
        <v>41</v>
      </c>
      <c r="B44" s="7">
        <v>2207.0490302806052</v>
      </c>
      <c r="C44" s="7">
        <v>1006.290031110781</v>
      </c>
      <c r="D44" s="7">
        <v>128</v>
      </c>
      <c r="E44" s="7">
        <v>146</v>
      </c>
      <c r="F44" s="7">
        <v>6094.2043795620439</v>
      </c>
      <c r="G44" s="7">
        <v>1788.103029837067</v>
      </c>
      <c r="H44" s="7">
        <v>1809.601615508042</v>
      </c>
    </row>
    <row r="45" spans="1:8" x14ac:dyDescent="0.3">
      <c r="A45" s="7">
        <v>42</v>
      </c>
      <c r="B45" s="7">
        <v>1304.784358952312</v>
      </c>
      <c r="C45" s="7">
        <v>778.6591629520882</v>
      </c>
      <c r="D45" s="7">
        <v>129</v>
      </c>
      <c r="E45" s="7">
        <v>146</v>
      </c>
      <c r="F45" s="7">
        <v>10699.618181818179</v>
      </c>
      <c r="G45" s="7">
        <v>3571.6972318883741</v>
      </c>
      <c r="H45" s="7">
        <v>2988.3199923556258</v>
      </c>
    </row>
    <row r="46" spans="1:8" x14ac:dyDescent="0.3">
      <c r="A46" s="7">
        <v>43</v>
      </c>
      <c r="B46" s="7">
        <v>1162.8466221453029</v>
      </c>
      <c r="C46" s="7">
        <v>697.0544759166055</v>
      </c>
      <c r="D46" s="7">
        <v>129</v>
      </c>
      <c r="E46" s="7">
        <v>146</v>
      </c>
      <c r="F46" s="7">
        <v>6450.3963636363633</v>
      </c>
      <c r="G46" s="7">
        <v>2335.8950030162482</v>
      </c>
      <c r="H46" s="7">
        <v>1979.87511886517</v>
      </c>
    </row>
    <row r="47" spans="1:8" x14ac:dyDescent="0.3">
      <c r="A47" s="7">
        <v>44</v>
      </c>
      <c r="B47" s="7">
        <v>807.9596050029146</v>
      </c>
      <c r="C47" s="7">
        <v>410.92022802319741</v>
      </c>
      <c r="D47" s="7">
        <v>131</v>
      </c>
      <c r="E47" s="7">
        <v>146</v>
      </c>
      <c r="F47" s="7">
        <v>5416.1841155234661</v>
      </c>
      <c r="G47" s="7">
        <v>1817.1267417051149</v>
      </c>
      <c r="H47" s="7">
        <v>1580.2452384673179</v>
      </c>
    </row>
    <row r="48" spans="1:8" x14ac:dyDescent="0.3">
      <c r="A48" s="7">
        <v>45</v>
      </c>
      <c r="B48" s="7">
        <v>857.5996868325193</v>
      </c>
      <c r="C48" s="7">
        <v>533.90146513305876</v>
      </c>
      <c r="D48" s="7">
        <v>129</v>
      </c>
      <c r="E48" s="7">
        <v>146</v>
      </c>
      <c r="F48" s="7">
        <v>5353.727272727273</v>
      </c>
      <c r="G48" s="7">
        <v>1885.6259462847679</v>
      </c>
      <c r="H48" s="7">
        <v>1646.5532035299659</v>
      </c>
    </row>
    <row r="49" spans="1:8" x14ac:dyDescent="0.3">
      <c r="A49" s="7">
        <v>46</v>
      </c>
      <c r="B49" s="7">
        <v>2021.102930654356</v>
      </c>
      <c r="C49" s="7">
        <v>889.21765188965867</v>
      </c>
      <c r="D49" s="7">
        <v>128</v>
      </c>
      <c r="E49" s="7">
        <v>146</v>
      </c>
      <c r="F49" s="7">
        <v>5539.5875912408756</v>
      </c>
      <c r="G49" s="7">
        <v>2390.2506847478362</v>
      </c>
      <c r="H49" s="7">
        <v>2160.8528836853989</v>
      </c>
    </row>
    <row r="50" spans="1:8" x14ac:dyDescent="0.3">
      <c r="A50" s="7">
        <v>47</v>
      </c>
      <c r="B50" s="7">
        <v>1203.0818481808469</v>
      </c>
      <c r="C50" s="7">
        <v>690.03651668553732</v>
      </c>
      <c r="D50" s="7">
        <v>131</v>
      </c>
      <c r="E50" s="7">
        <v>146</v>
      </c>
      <c r="F50" s="7">
        <v>7571.8447653429603</v>
      </c>
      <c r="G50" s="7">
        <v>2288.075779119295</v>
      </c>
      <c r="H50" s="7">
        <v>1913.367693755398</v>
      </c>
    </row>
    <row r="51" spans="1:8" x14ac:dyDescent="0.3">
      <c r="A51" s="7">
        <v>48</v>
      </c>
      <c r="B51" s="7">
        <v>597.15057829440502</v>
      </c>
      <c r="C51" s="7">
        <v>395.56668469175281</v>
      </c>
      <c r="D51" s="7">
        <v>131</v>
      </c>
      <c r="E51" s="7">
        <v>146</v>
      </c>
      <c r="F51" s="7">
        <v>3684.6389891696749</v>
      </c>
      <c r="G51" s="7">
        <v>1057.1341064803321</v>
      </c>
      <c r="H51" s="7">
        <v>898.5096869451362</v>
      </c>
    </row>
    <row r="52" spans="1:8" x14ac:dyDescent="0.3">
      <c r="A52" s="7">
        <v>49</v>
      </c>
      <c r="B52" s="7">
        <v>1435.7312211077469</v>
      </c>
      <c r="C52" s="7">
        <v>863.98904622996736</v>
      </c>
      <c r="D52" s="7">
        <v>128</v>
      </c>
      <c r="E52" s="7">
        <v>146</v>
      </c>
      <c r="F52" s="7">
        <v>7649.4124087591244</v>
      </c>
      <c r="G52" s="7">
        <v>2735.547888449405</v>
      </c>
      <c r="H52" s="7">
        <v>2355.6988580013881</v>
      </c>
    </row>
    <row r="53" spans="1:8" x14ac:dyDescent="0.3">
      <c r="A53" s="7">
        <v>50</v>
      </c>
      <c r="B53" s="7">
        <v>801.16016721983488</v>
      </c>
      <c r="C53" s="7">
        <v>466.39246965971302</v>
      </c>
      <c r="D53" s="7">
        <v>129</v>
      </c>
      <c r="E53" s="7">
        <v>146</v>
      </c>
      <c r="F53" s="7">
        <v>4410.8363636363638</v>
      </c>
      <c r="G53" s="7">
        <v>1857.6865415945999</v>
      </c>
      <c r="H53" s="7">
        <v>1548.5995639896851</v>
      </c>
    </row>
    <row r="54" spans="1:8" x14ac:dyDescent="0.3">
      <c r="A54" s="7">
        <v>51</v>
      </c>
      <c r="B54" s="7">
        <v>2134.383468482582</v>
      </c>
      <c r="C54" s="7">
        <v>962.27917261729874</v>
      </c>
      <c r="D54" s="7">
        <v>128</v>
      </c>
      <c r="E54" s="7">
        <v>146</v>
      </c>
      <c r="F54" s="7">
        <v>7052.5656934306571</v>
      </c>
      <c r="G54" s="7">
        <v>2219.3836225543569</v>
      </c>
      <c r="H54" s="7">
        <v>1875.9159497922431</v>
      </c>
    </row>
    <row r="55" spans="1:8" x14ac:dyDescent="0.3">
      <c r="A55" s="7">
        <v>52</v>
      </c>
      <c r="B55" s="7">
        <v>2017.688167974989</v>
      </c>
      <c r="C55" s="7">
        <v>954.73199324218342</v>
      </c>
      <c r="D55" s="7">
        <v>128</v>
      </c>
      <c r="E55" s="7">
        <v>146</v>
      </c>
      <c r="F55" s="7">
        <v>6571.9781021897807</v>
      </c>
      <c r="G55" s="7">
        <v>2691.5077907188011</v>
      </c>
      <c r="H55" s="7">
        <v>2463.9615570853621</v>
      </c>
    </row>
    <row r="56" spans="1:8" x14ac:dyDescent="0.3">
      <c r="A56" s="7">
        <v>53</v>
      </c>
      <c r="B56" s="7">
        <v>953.91233917801503</v>
      </c>
      <c r="C56" s="7">
        <v>649.87432960643878</v>
      </c>
      <c r="D56" s="7">
        <v>131</v>
      </c>
      <c r="E56" s="7">
        <v>146</v>
      </c>
      <c r="F56" s="7">
        <v>5283.0685920577616</v>
      </c>
      <c r="G56" s="7">
        <v>1794.628833172743</v>
      </c>
      <c r="H56" s="7">
        <v>1564.5738533114229</v>
      </c>
    </row>
    <row r="57" spans="1:8" x14ac:dyDescent="0.3">
      <c r="A57" s="7">
        <v>54</v>
      </c>
      <c r="B57" s="7">
        <v>1304.5820950551879</v>
      </c>
      <c r="C57" s="7">
        <v>835.44573013141496</v>
      </c>
      <c r="D57" s="7">
        <v>132</v>
      </c>
      <c r="E57" s="7">
        <v>146</v>
      </c>
      <c r="F57" s="7">
        <v>7956.0827338129493</v>
      </c>
      <c r="G57" s="7">
        <v>2806.2067895033229</v>
      </c>
      <c r="H57" s="7">
        <v>2491.118786453022</v>
      </c>
    </row>
    <row r="58" spans="1:8" x14ac:dyDescent="0.3">
      <c r="A58" s="7">
        <v>55</v>
      </c>
      <c r="B58" s="7">
        <v>799.78937402376414</v>
      </c>
      <c r="C58" s="7">
        <v>431.64177227546111</v>
      </c>
      <c r="D58" s="7">
        <v>131</v>
      </c>
      <c r="E58" s="7">
        <v>146</v>
      </c>
      <c r="F58" s="7">
        <v>5157.2671480144409</v>
      </c>
      <c r="G58" s="7">
        <v>1663.408867677668</v>
      </c>
      <c r="H58" s="7">
        <v>1453.7927698981789</v>
      </c>
    </row>
    <row r="59" spans="1:8" x14ac:dyDescent="0.3">
      <c r="A59" s="7">
        <v>56</v>
      </c>
      <c r="B59" s="7">
        <v>1107.7712771981439</v>
      </c>
      <c r="C59" s="7">
        <v>838.06346783341098</v>
      </c>
      <c r="D59" s="7">
        <v>129</v>
      </c>
      <c r="E59" s="7">
        <v>146</v>
      </c>
      <c r="F59" s="7">
        <v>8206.1527272727271</v>
      </c>
      <c r="G59" s="7">
        <v>2101.723296238943</v>
      </c>
      <c r="H59" s="7">
        <v>1868.8126917142681</v>
      </c>
    </row>
    <row r="60" spans="1:8" x14ac:dyDescent="0.3">
      <c r="A60" s="7">
        <v>57</v>
      </c>
      <c r="B60" s="7">
        <v>1295.879642498785</v>
      </c>
      <c r="C60" s="7">
        <v>801.49433423848154</v>
      </c>
      <c r="D60" s="7">
        <v>131</v>
      </c>
      <c r="E60" s="7">
        <v>146</v>
      </c>
      <c r="F60" s="7">
        <v>9155.3935018050543</v>
      </c>
      <c r="G60" s="7">
        <v>3423.24359934522</v>
      </c>
      <c r="H60" s="7">
        <v>3100.3869676727559</v>
      </c>
    </row>
    <row r="61" spans="1:8" x14ac:dyDescent="0.3">
      <c r="A61" s="7">
        <v>58</v>
      </c>
      <c r="B61" s="7">
        <v>1922.652916684425</v>
      </c>
      <c r="C61" s="7">
        <v>915.89567117571312</v>
      </c>
      <c r="D61" s="7">
        <v>128</v>
      </c>
      <c r="E61" s="7">
        <v>146</v>
      </c>
      <c r="F61" s="7">
        <v>7178.0985401459857</v>
      </c>
      <c r="G61" s="7">
        <v>2810.886806796922</v>
      </c>
      <c r="H61" s="7">
        <v>2498.3089678080528</v>
      </c>
    </row>
    <row r="62" spans="1:8" x14ac:dyDescent="0.3">
      <c r="A62" s="7">
        <v>59</v>
      </c>
      <c r="B62" s="7">
        <v>614.97461371947247</v>
      </c>
      <c r="C62" s="7">
        <v>468.01874071059461</v>
      </c>
      <c r="D62" s="7">
        <v>131</v>
      </c>
      <c r="E62" s="7">
        <v>146</v>
      </c>
      <c r="F62" s="7">
        <v>5595.7689530685921</v>
      </c>
      <c r="G62" s="7">
        <v>1722.392905411157</v>
      </c>
      <c r="H62" s="7">
        <v>1585.9110341438379</v>
      </c>
    </row>
    <row r="63" spans="1:8" x14ac:dyDescent="0.3">
      <c r="A63" s="7">
        <v>60</v>
      </c>
      <c r="B63" s="7">
        <v>1311.857249489776</v>
      </c>
      <c r="C63" s="7">
        <v>798.95888221008454</v>
      </c>
      <c r="D63" s="7">
        <v>131</v>
      </c>
      <c r="E63" s="7">
        <v>146</v>
      </c>
      <c r="F63" s="7">
        <v>8836.6931407942229</v>
      </c>
      <c r="G63" s="7">
        <v>3342.5216231950872</v>
      </c>
      <c r="H63" s="7">
        <v>2906.319016561567</v>
      </c>
    </row>
    <row r="64" spans="1:8" x14ac:dyDescent="0.3">
      <c r="A64" s="7">
        <v>61</v>
      </c>
      <c r="B64" s="7">
        <v>730.47789602264652</v>
      </c>
      <c r="C64" s="7">
        <v>579.8856843073396</v>
      </c>
      <c r="D64" s="7">
        <v>128</v>
      </c>
      <c r="E64" s="7">
        <v>146</v>
      </c>
      <c r="F64" s="7">
        <v>5063.2883211678836</v>
      </c>
      <c r="G64" s="7">
        <v>1517.1560874708971</v>
      </c>
      <c r="H64" s="7">
        <v>1407.987405571007</v>
      </c>
    </row>
    <row r="65" spans="1:8" x14ac:dyDescent="0.3">
      <c r="A65" s="7">
        <v>62</v>
      </c>
      <c r="B65" s="7">
        <v>1134.5822661840889</v>
      </c>
      <c r="C65" s="7">
        <v>777.49545985174018</v>
      </c>
      <c r="D65" s="7">
        <v>129</v>
      </c>
      <c r="E65" s="7">
        <v>146</v>
      </c>
      <c r="F65" s="7">
        <v>6765.0290909090909</v>
      </c>
      <c r="G65" s="7">
        <v>1805.599657740056</v>
      </c>
      <c r="H65" s="7">
        <v>1424.104806536373</v>
      </c>
    </row>
    <row r="66" spans="1:8" x14ac:dyDescent="0.3">
      <c r="A66" s="7">
        <v>63</v>
      </c>
      <c r="B66" s="7">
        <v>1394.069358996715</v>
      </c>
      <c r="C66" s="7">
        <v>815.00003564603685</v>
      </c>
      <c r="D66" s="7">
        <v>131</v>
      </c>
      <c r="E66" s="7">
        <v>146</v>
      </c>
      <c r="F66" s="7">
        <v>7335.3212996389893</v>
      </c>
      <c r="G66" s="7">
        <v>2845.065481745517</v>
      </c>
      <c r="H66" s="7">
        <v>2417.2857854405938</v>
      </c>
    </row>
    <row r="67" spans="1:8" x14ac:dyDescent="0.3">
      <c r="A67" s="7">
        <v>64</v>
      </c>
      <c r="B67" s="7">
        <v>1694.153925697158</v>
      </c>
      <c r="C67" s="7">
        <v>922.86220166926546</v>
      </c>
      <c r="D67" s="7">
        <v>129</v>
      </c>
      <c r="E67" s="7">
        <v>146</v>
      </c>
      <c r="F67" s="7">
        <v>11240.19636363636</v>
      </c>
      <c r="G67" s="7">
        <v>4129.5285135455897</v>
      </c>
      <c r="H67" s="7">
        <v>3459.9992299468622</v>
      </c>
    </row>
    <row r="68" spans="1:8" x14ac:dyDescent="0.3">
      <c r="A68" s="7">
        <v>65</v>
      </c>
      <c r="B68" s="7">
        <v>842.63477769813994</v>
      </c>
      <c r="C68" s="7">
        <v>626.72314691531471</v>
      </c>
      <c r="D68" s="7">
        <v>130</v>
      </c>
      <c r="E68" s="7">
        <v>146</v>
      </c>
      <c r="F68" s="7">
        <v>5231.510869565217</v>
      </c>
      <c r="G68" s="7">
        <v>2059.7968794556868</v>
      </c>
      <c r="H68" s="7">
        <v>1807.4743731486319</v>
      </c>
    </row>
    <row r="69" spans="1:8" x14ac:dyDescent="0.3">
      <c r="A69" s="7">
        <v>66</v>
      </c>
      <c r="B69" s="7">
        <v>927.87022766523023</v>
      </c>
      <c r="C69" s="7">
        <v>646.69352404230676</v>
      </c>
      <c r="D69" s="7">
        <v>128</v>
      </c>
      <c r="E69" s="7">
        <v>146</v>
      </c>
      <c r="F69" s="7">
        <v>6231.0291970802919</v>
      </c>
      <c r="G69" s="7">
        <v>1625.503549384774</v>
      </c>
      <c r="H69" s="7">
        <v>1405.2674122742619</v>
      </c>
    </row>
    <row r="70" spans="1:8" x14ac:dyDescent="0.3">
      <c r="A70" s="7">
        <v>67</v>
      </c>
      <c r="B70" s="7">
        <v>902.11530982189481</v>
      </c>
      <c r="C70" s="7">
        <v>602.62959387845081</v>
      </c>
      <c r="D70" s="7">
        <v>128</v>
      </c>
      <c r="E70" s="7">
        <v>146</v>
      </c>
      <c r="F70" s="7">
        <v>8167.7226277372274</v>
      </c>
      <c r="G70" s="7">
        <v>2826.9324792409711</v>
      </c>
      <c r="H70" s="7">
        <v>2395.0774188876971</v>
      </c>
    </row>
    <row r="71" spans="1:8" x14ac:dyDescent="0.3">
      <c r="A71" s="7">
        <v>68</v>
      </c>
      <c r="B71" s="7">
        <v>1946.5980897625459</v>
      </c>
      <c r="C71" s="7">
        <v>1260.5231051650089</v>
      </c>
      <c r="D71" s="7">
        <v>131</v>
      </c>
      <c r="E71" s="7">
        <v>146</v>
      </c>
      <c r="F71" s="7">
        <v>7619.9494584837548</v>
      </c>
      <c r="G71" s="7">
        <v>2881.3404204155759</v>
      </c>
      <c r="H71" s="7">
        <v>2313.2038521591289</v>
      </c>
    </row>
    <row r="72" spans="1:8" x14ac:dyDescent="0.3">
      <c r="A72" s="7">
        <v>69</v>
      </c>
      <c r="B72" s="7">
        <v>974.13731829744017</v>
      </c>
      <c r="C72" s="7">
        <v>740.54517996588652</v>
      </c>
      <c r="D72" s="7">
        <v>129</v>
      </c>
      <c r="E72" s="7">
        <v>146</v>
      </c>
      <c r="F72" s="7">
        <v>8993.7999999999993</v>
      </c>
      <c r="G72" s="7">
        <v>2687.9566458989921</v>
      </c>
      <c r="H72" s="7">
        <v>2302.78727031586</v>
      </c>
    </row>
    <row r="73" spans="1:8" x14ac:dyDescent="0.3">
      <c r="A73" s="7">
        <v>70</v>
      </c>
      <c r="B73" s="7">
        <v>934.96341150771457</v>
      </c>
      <c r="C73" s="7">
        <v>503.76979612374458</v>
      </c>
      <c r="D73" s="7">
        <v>127</v>
      </c>
      <c r="E73" s="7">
        <v>146</v>
      </c>
      <c r="F73" s="7">
        <v>6705.7252747252751</v>
      </c>
      <c r="G73" s="7">
        <v>2245.769396243159</v>
      </c>
      <c r="H73" s="7">
        <v>2006.9989983684729</v>
      </c>
    </row>
    <row r="74" spans="1:8" x14ac:dyDescent="0.3">
      <c r="A74" s="7">
        <v>71</v>
      </c>
      <c r="B74" s="7">
        <v>1228.130861089177</v>
      </c>
      <c r="C74" s="7">
        <v>771.83392079801649</v>
      </c>
      <c r="D74" s="7">
        <v>129</v>
      </c>
      <c r="E74" s="7">
        <v>146</v>
      </c>
      <c r="F74" s="7">
        <v>9150.8036363636365</v>
      </c>
      <c r="G74" s="7">
        <v>3519.6737582254809</v>
      </c>
      <c r="H74" s="7">
        <v>3024.4649170136809</v>
      </c>
    </row>
    <row r="75" spans="1:8" x14ac:dyDescent="0.3">
      <c r="A75" s="7">
        <v>72</v>
      </c>
      <c r="B75" s="7">
        <v>2220.418855002265</v>
      </c>
      <c r="C75" s="7">
        <v>963.02931908374399</v>
      </c>
      <c r="D75" s="7">
        <v>128</v>
      </c>
      <c r="E75" s="7">
        <v>146</v>
      </c>
      <c r="F75" s="7">
        <v>4467.054744525547</v>
      </c>
      <c r="G75" s="7">
        <v>2535.6902089840351</v>
      </c>
      <c r="H75" s="7">
        <v>2134.644165271759</v>
      </c>
    </row>
    <row r="76" spans="1:8" x14ac:dyDescent="0.3">
      <c r="A76" s="7">
        <v>73</v>
      </c>
      <c r="B76" s="7">
        <v>766.97971187299481</v>
      </c>
      <c r="C76" s="7">
        <v>497.71801107651402</v>
      </c>
      <c r="D76" s="7">
        <v>131</v>
      </c>
      <c r="E76" s="7">
        <v>146</v>
      </c>
      <c r="F76" s="7">
        <v>4773.5595667870039</v>
      </c>
      <c r="G76" s="7">
        <v>1403.832004803254</v>
      </c>
      <c r="H76" s="7">
        <v>1168.1243160760839</v>
      </c>
    </row>
    <row r="77" spans="1:8" x14ac:dyDescent="0.3">
      <c r="A77" s="7">
        <v>74</v>
      </c>
      <c r="B77" s="7">
        <v>942.61371177742978</v>
      </c>
      <c r="C77" s="7">
        <v>504.23839248617702</v>
      </c>
      <c r="D77" s="7">
        <v>127</v>
      </c>
      <c r="E77" s="7">
        <v>146</v>
      </c>
      <c r="F77" s="7">
        <v>6207.9487179487178</v>
      </c>
      <c r="G77" s="7">
        <v>2127.6026932847308</v>
      </c>
      <c r="H77" s="7">
        <v>1731.2007888263211</v>
      </c>
    </row>
    <row r="78" spans="1:8" x14ac:dyDescent="0.3">
      <c r="A78" s="7">
        <v>75</v>
      </c>
      <c r="B78" s="7">
        <v>1125.0145602334669</v>
      </c>
      <c r="C78" s="7">
        <v>653.85699751164304</v>
      </c>
      <c r="D78" s="7">
        <v>131</v>
      </c>
      <c r="E78" s="7">
        <v>146</v>
      </c>
      <c r="F78" s="7">
        <v>6039.353790613718</v>
      </c>
      <c r="G78" s="7">
        <v>1715.8127711521599</v>
      </c>
      <c r="H78" s="7">
        <v>1506.1663050128841</v>
      </c>
    </row>
    <row r="79" spans="1:8" x14ac:dyDescent="0.3">
      <c r="A79" s="7">
        <v>76</v>
      </c>
      <c r="B79" s="7">
        <v>1410.4337726626329</v>
      </c>
      <c r="C79" s="7">
        <v>875.32318766902131</v>
      </c>
      <c r="D79" s="7">
        <v>128</v>
      </c>
      <c r="E79" s="7">
        <v>146</v>
      </c>
      <c r="F79" s="7">
        <v>9290.1934306569347</v>
      </c>
      <c r="G79" s="7">
        <v>2776.1892553012299</v>
      </c>
      <c r="H79" s="7">
        <v>2755.831945588985</v>
      </c>
    </row>
    <row r="80" spans="1:8" x14ac:dyDescent="0.3">
      <c r="A80" s="7">
        <v>77</v>
      </c>
      <c r="B80" s="7">
        <v>1054.0139467600591</v>
      </c>
      <c r="C80" s="7">
        <v>664.32496973224454</v>
      </c>
      <c r="D80" s="7">
        <v>129</v>
      </c>
      <c r="E80" s="7">
        <v>146</v>
      </c>
      <c r="F80" s="7">
        <v>8029.636363636364</v>
      </c>
      <c r="G80" s="7">
        <v>2889.4994765194551</v>
      </c>
      <c r="H80" s="7">
        <v>2469.5647653254582</v>
      </c>
    </row>
    <row r="81" spans="1:8" x14ac:dyDescent="0.3">
      <c r="A81" s="7">
        <v>78</v>
      </c>
      <c r="B81" s="7">
        <v>611.64266090633873</v>
      </c>
      <c r="C81" s="7">
        <v>448.02914866832151</v>
      </c>
      <c r="D81" s="7">
        <v>130</v>
      </c>
      <c r="E81" s="7">
        <v>146</v>
      </c>
      <c r="F81" s="7">
        <v>3848.329710144928</v>
      </c>
      <c r="G81" s="7">
        <v>1431.482351647034</v>
      </c>
      <c r="H81" s="7">
        <v>1280.3996834250891</v>
      </c>
    </row>
    <row r="82" spans="1:8" x14ac:dyDescent="0.3">
      <c r="A82" s="7">
        <v>79</v>
      </c>
      <c r="B82" s="7">
        <v>779.51663110596257</v>
      </c>
      <c r="C82" s="7">
        <v>419.13879748959289</v>
      </c>
      <c r="D82" s="7">
        <v>128</v>
      </c>
      <c r="E82" s="7">
        <v>146</v>
      </c>
      <c r="F82" s="7">
        <v>5663.5437956204378</v>
      </c>
      <c r="G82" s="7">
        <v>1983.29432384606</v>
      </c>
      <c r="H82" s="7">
        <v>1750.1774802370089</v>
      </c>
    </row>
    <row r="83" spans="1:8" x14ac:dyDescent="0.3">
      <c r="A83" s="7">
        <v>80</v>
      </c>
      <c r="B83" s="7">
        <v>1110.0370967072629</v>
      </c>
      <c r="C83" s="7">
        <v>661.97191927769541</v>
      </c>
      <c r="D83" s="7">
        <v>129</v>
      </c>
      <c r="E83" s="7">
        <v>146</v>
      </c>
      <c r="F83" s="7">
        <v>7941.2109090909089</v>
      </c>
      <c r="G83" s="7">
        <v>2562.663461226206</v>
      </c>
      <c r="H83" s="7">
        <v>2220.6668256820808</v>
      </c>
    </row>
    <row r="84" spans="1:8" x14ac:dyDescent="0.3">
      <c r="A84" s="7">
        <v>81</v>
      </c>
      <c r="B84" s="7">
        <v>1701.4215495573819</v>
      </c>
      <c r="C84" s="7">
        <v>902.01604632164776</v>
      </c>
      <c r="D84" s="7">
        <v>128</v>
      </c>
      <c r="E84" s="7">
        <v>146</v>
      </c>
      <c r="F84" s="7">
        <v>7457.5875912408756</v>
      </c>
      <c r="G84" s="7">
        <v>1294.362499939642</v>
      </c>
      <c r="H84" s="7">
        <v>1323.8608595099661</v>
      </c>
    </row>
    <row r="85" spans="1:8" x14ac:dyDescent="0.3">
      <c r="A85" s="7">
        <v>82</v>
      </c>
      <c r="B85" s="7">
        <v>1095.078100283052</v>
      </c>
      <c r="C85" s="7">
        <v>713.62252057301384</v>
      </c>
      <c r="D85" s="7">
        <v>129</v>
      </c>
      <c r="E85" s="7">
        <v>146</v>
      </c>
      <c r="F85" s="7">
        <v>9208.9636363636364</v>
      </c>
      <c r="G85" s="7">
        <v>3219.1473581024979</v>
      </c>
      <c r="H85" s="7">
        <v>2839.2701780273769</v>
      </c>
    </row>
    <row r="86" spans="1:8" x14ac:dyDescent="0.3">
      <c r="A86" s="7">
        <v>83</v>
      </c>
      <c r="B86" s="7">
        <v>661.98527199971659</v>
      </c>
      <c r="C86" s="7">
        <v>416.28170766199378</v>
      </c>
      <c r="D86" s="7">
        <v>129</v>
      </c>
      <c r="E86" s="7">
        <v>146</v>
      </c>
      <c r="F86" s="7">
        <v>3997.8218181818179</v>
      </c>
      <c r="G86" s="7">
        <v>1085.4372569428831</v>
      </c>
      <c r="H86" s="7">
        <v>907.59111395880598</v>
      </c>
    </row>
    <row r="87" spans="1:8" x14ac:dyDescent="0.3">
      <c r="A87" s="7">
        <v>84</v>
      </c>
      <c r="B87" s="7">
        <v>1734.348740312452</v>
      </c>
      <c r="C87" s="7">
        <v>865.56839467095972</v>
      </c>
      <c r="D87" s="7">
        <v>129</v>
      </c>
      <c r="E87" s="7">
        <v>146</v>
      </c>
      <c r="F87" s="7">
        <v>13407.381818181821</v>
      </c>
      <c r="G87" s="7">
        <v>3850.427679859662</v>
      </c>
      <c r="H87" s="7">
        <v>3279.638626517858</v>
      </c>
    </row>
    <row r="88" spans="1:8" x14ac:dyDescent="0.3">
      <c r="A88" s="7">
        <v>85</v>
      </c>
      <c r="B88" s="7">
        <v>1056.9891895859339</v>
      </c>
      <c r="C88" s="7">
        <v>1327.4945083626089</v>
      </c>
      <c r="D88" s="7">
        <v>135</v>
      </c>
      <c r="E88" s="7">
        <v>201</v>
      </c>
      <c r="F88" s="7">
        <v>7484.104166666667</v>
      </c>
      <c r="G88" s="7">
        <v>2167.800288054435</v>
      </c>
      <c r="H88" s="7">
        <v>2340.1775764997492</v>
      </c>
    </row>
    <row r="89" spans="1:8" x14ac:dyDescent="0.3">
      <c r="A89" s="7">
        <v>86</v>
      </c>
      <c r="B89" s="7">
        <v>736.68675231498901</v>
      </c>
      <c r="C89" s="7">
        <v>517.00995366409427</v>
      </c>
      <c r="D89" s="7">
        <v>127</v>
      </c>
      <c r="E89" s="7">
        <v>146</v>
      </c>
      <c r="F89" s="7">
        <v>4796.5164835164833</v>
      </c>
      <c r="G89" s="7">
        <v>1777.869429587397</v>
      </c>
      <c r="H89" s="7">
        <v>1551.400595661604</v>
      </c>
    </row>
    <row r="90" spans="1:8" x14ac:dyDescent="0.3">
      <c r="A90" s="7">
        <v>87</v>
      </c>
      <c r="B90" s="7">
        <v>723.73194507468736</v>
      </c>
      <c r="C90" s="7">
        <v>687.0829532586389</v>
      </c>
      <c r="D90" s="7">
        <v>131</v>
      </c>
      <c r="E90" s="7">
        <v>146</v>
      </c>
      <c r="F90" s="7">
        <v>5796.8267148014438</v>
      </c>
      <c r="G90" s="7">
        <v>1248.4636421013049</v>
      </c>
      <c r="H90" s="7">
        <v>1126.1450306852071</v>
      </c>
    </row>
    <row r="91" spans="1:8" x14ac:dyDescent="0.3">
      <c r="A91" s="7">
        <v>88</v>
      </c>
      <c r="B91" s="7">
        <v>797.907410791394</v>
      </c>
      <c r="C91" s="7">
        <v>590.10203191962353</v>
      </c>
      <c r="D91" s="7">
        <v>130</v>
      </c>
      <c r="E91" s="7">
        <v>146</v>
      </c>
      <c r="F91" s="7">
        <v>6035.547101449275</v>
      </c>
      <c r="G91" s="7">
        <v>2233.264655851814</v>
      </c>
      <c r="H91" s="7">
        <v>1961.943361421185</v>
      </c>
    </row>
    <row r="92" spans="1:8" x14ac:dyDescent="0.3">
      <c r="A92" s="7">
        <v>89</v>
      </c>
      <c r="B92" s="7">
        <v>1915.650863433882</v>
      </c>
      <c r="C92" s="7">
        <v>949.14329447716534</v>
      </c>
      <c r="D92" s="7">
        <v>128</v>
      </c>
      <c r="E92" s="7">
        <v>146</v>
      </c>
      <c r="F92" s="7">
        <v>6115.6934306569347</v>
      </c>
      <c r="G92" s="7">
        <v>1196.894040318524</v>
      </c>
      <c r="H92" s="7">
        <v>1194.417290725298</v>
      </c>
    </row>
    <row r="93" spans="1:8" x14ac:dyDescent="0.3">
      <c r="A93" s="7">
        <v>90</v>
      </c>
      <c r="B93" s="7">
        <v>1627.914688965742</v>
      </c>
      <c r="C93" s="7">
        <v>917.83566942266134</v>
      </c>
      <c r="D93" s="7">
        <v>129</v>
      </c>
      <c r="E93" s="7">
        <v>146</v>
      </c>
      <c r="F93" s="7">
        <v>8666.0981818181826</v>
      </c>
      <c r="G93" s="7">
        <v>3058.6491166207102</v>
      </c>
      <c r="H93" s="7">
        <v>2454.6446608336009</v>
      </c>
    </row>
    <row r="94" spans="1:8" x14ac:dyDescent="0.3">
      <c r="A94" s="7">
        <v>91</v>
      </c>
      <c r="B94" s="7">
        <v>824.27655786828689</v>
      </c>
      <c r="C94" s="7">
        <v>440.11610108027162</v>
      </c>
      <c r="D94" s="7">
        <v>128</v>
      </c>
      <c r="E94" s="7">
        <v>146</v>
      </c>
      <c r="F94" s="7">
        <v>4667.229927007299</v>
      </c>
      <c r="G94" s="7">
        <v>1754.1453670520009</v>
      </c>
      <c r="H94" s="7">
        <v>1512.9428073645629</v>
      </c>
    </row>
    <row r="95" spans="1:8" x14ac:dyDescent="0.3">
      <c r="A95" s="7">
        <v>92</v>
      </c>
      <c r="B95" s="7">
        <v>1158.7676408008761</v>
      </c>
      <c r="C95" s="7">
        <v>649.46514462005712</v>
      </c>
      <c r="D95" s="7">
        <v>129</v>
      </c>
      <c r="E95" s="7">
        <v>146</v>
      </c>
      <c r="F95" s="7">
        <v>6570.0981818181817</v>
      </c>
      <c r="G95" s="7">
        <v>2754.3950024383512</v>
      </c>
      <c r="H95" s="7">
        <v>2472.337501066163</v>
      </c>
    </row>
    <row r="96" spans="1:8" x14ac:dyDescent="0.3">
      <c r="A96" s="7">
        <v>93</v>
      </c>
      <c r="B96" s="7">
        <v>1071.34332620122</v>
      </c>
      <c r="C96" s="7">
        <v>517.91069455362879</v>
      </c>
      <c r="D96" s="7">
        <v>129</v>
      </c>
      <c r="E96" s="7">
        <v>146</v>
      </c>
      <c r="F96" s="7">
        <v>5948.1236363636363</v>
      </c>
      <c r="G96" s="7">
        <v>2182.1344770588712</v>
      </c>
      <c r="H96" s="7">
        <v>1733.362481753509</v>
      </c>
    </row>
    <row r="97" spans="1:8" x14ac:dyDescent="0.3">
      <c r="A97" s="7">
        <v>94</v>
      </c>
      <c r="B97" s="7">
        <v>956.25506871589607</v>
      </c>
      <c r="C97" s="7">
        <v>540.75215190102995</v>
      </c>
      <c r="D97" s="7">
        <v>129</v>
      </c>
      <c r="E97" s="7">
        <v>146</v>
      </c>
      <c r="F97" s="7">
        <v>7398.130909090909</v>
      </c>
      <c r="G97" s="7">
        <v>2670.9160769148998</v>
      </c>
      <c r="H97" s="7">
        <v>2330.322333515729</v>
      </c>
    </row>
    <row r="98" spans="1:8" x14ac:dyDescent="0.3">
      <c r="A98" s="7">
        <v>95</v>
      </c>
      <c r="B98" s="7">
        <v>960.78975019352197</v>
      </c>
      <c r="C98" s="7">
        <v>685.49586012058637</v>
      </c>
      <c r="D98" s="7">
        <v>131</v>
      </c>
      <c r="E98" s="7">
        <v>146</v>
      </c>
      <c r="F98" s="7">
        <v>6913.9314079422384</v>
      </c>
      <c r="G98" s="7">
        <v>2585.6720832575429</v>
      </c>
      <c r="H98" s="7">
        <v>2249.2516487605499</v>
      </c>
    </row>
    <row r="99" spans="1:8" x14ac:dyDescent="0.3">
      <c r="A99" s="7">
        <v>96</v>
      </c>
      <c r="B99" s="7">
        <v>797.52613517200064</v>
      </c>
      <c r="C99" s="7">
        <v>445.69848936089647</v>
      </c>
      <c r="D99" s="7">
        <v>131</v>
      </c>
      <c r="E99" s="7">
        <v>146</v>
      </c>
      <c r="F99" s="7">
        <v>5357.292418772563</v>
      </c>
      <c r="G99" s="7">
        <v>2234.9681077697928</v>
      </c>
      <c r="H99" s="7">
        <v>1984.5422991174321</v>
      </c>
    </row>
    <row r="100" spans="1:8" x14ac:dyDescent="0.3">
      <c r="A100" s="7">
        <v>97</v>
      </c>
      <c r="B100" s="7">
        <v>1099.313350382545</v>
      </c>
      <c r="C100" s="7">
        <v>566.53098857060854</v>
      </c>
      <c r="D100" s="7">
        <v>131</v>
      </c>
      <c r="E100" s="7">
        <v>146</v>
      </c>
      <c r="F100" s="7">
        <v>6943.3357400722016</v>
      </c>
      <c r="G100" s="7">
        <v>2403.7861674723272</v>
      </c>
      <c r="H100" s="7">
        <v>2088.1653250299728</v>
      </c>
    </row>
    <row r="101" spans="1:8" x14ac:dyDescent="0.3">
      <c r="A101" s="7">
        <v>98</v>
      </c>
      <c r="B101" s="7">
        <v>797.65065477217206</v>
      </c>
      <c r="C101" s="7">
        <v>502.10765897949409</v>
      </c>
      <c r="D101" s="7">
        <v>129</v>
      </c>
      <c r="E101" s="7">
        <v>146</v>
      </c>
      <c r="F101" s="7">
        <v>5551.3381818181824</v>
      </c>
      <c r="G101" s="7">
        <v>1811.1275493459871</v>
      </c>
      <c r="H101" s="7">
        <v>1591.1039568079341</v>
      </c>
    </row>
    <row r="102" spans="1:8" x14ac:dyDescent="0.3">
      <c r="A102" s="7">
        <v>99</v>
      </c>
      <c r="B102" s="7">
        <v>2179.8808604379828</v>
      </c>
      <c r="C102" s="7">
        <v>989.02573006448392</v>
      </c>
      <c r="D102" s="7">
        <v>128</v>
      </c>
      <c r="E102" s="7">
        <v>146</v>
      </c>
      <c r="F102" s="7">
        <v>5790.8941605839418</v>
      </c>
      <c r="G102" s="7">
        <v>1815.5363704701699</v>
      </c>
      <c r="H102" s="7">
        <v>1774.50817033209</v>
      </c>
    </row>
    <row r="103" spans="1:8" x14ac:dyDescent="0.3">
      <c r="A103" s="7">
        <v>100</v>
      </c>
      <c r="B103" s="7">
        <v>1598.099489063424</v>
      </c>
      <c r="C103" s="7">
        <v>911.55122220707938</v>
      </c>
      <c r="D103" s="7">
        <v>128</v>
      </c>
      <c r="E103" s="7">
        <v>146</v>
      </c>
      <c r="F103" s="7">
        <v>8188.9927007299266</v>
      </c>
      <c r="G103" s="7">
        <v>2073.6964109260298</v>
      </c>
      <c r="H103" s="7">
        <v>1917.853689407146</v>
      </c>
    </row>
    <row r="104" spans="1:8" x14ac:dyDescent="0.3">
      <c r="A104" s="7">
        <v>101</v>
      </c>
      <c r="B104" s="7">
        <v>1234.770666108976</v>
      </c>
      <c r="C104" s="7">
        <v>719.55307754307614</v>
      </c>
      <c r="D104" s="7">
        <v>131</v>
      </c>
      <c r="E104" s="7">
        <v>146</v>
      </c>
      <c r="F104" s="7">
        <v>7767.7328519855591</v>
      </c>
      <c r="G104" s="7">
        <v>2413.435491209369</v>
      </c>
      <c r="H104" s="7">
        <v>2083.8634677096279</v>
      </c>
    </row>
    <row r="105" spans="1:8" x14ac:dyDescent="0.3">
      <c r="A105" s="7">
        <v>102</v>
      </c>
      <c r="B105" s="7">
        <v>1230.84169156594</v>
      </c>
      <c r="C105" s="7">
        <v>866.85861517816511</v>
      </c>
      <c r="D105" s="7">
        <v>129</v>
      </c>
      <c r="E105" s="7">
        <v>146</v>
      </c>
      <c r="F105" s="7">
        <v>7206.6654545454548</v>
      </c>
      <c r="G105" s="7">
        <v>3133.5681929958118</v>
      </c>
      <c r="H105" s="7">
        <v>2773.0656531063878</v>
      </c>
    </row>
    <row r="106" spans="1:8" x14ac:dyDescent="0.3">
      <c r="A106" s="7">
        <v>103</v>
      </c>
      <c r="B106" s="7">
        <v>742.5801541507966</v>
      </c>
      <c r="C106" s="7">
        <v>591.69655415292425</v>
      </c>
      <c r="D106" s="7">
        <v>131</v>
      </c>
      <c r="E106" s="7">
        <v>146</v>
      </c>
      <c r="F106" s="7">
        <v>4901.8989169675087</v>
      </c>
      <c r="G106" s="7">
        <v>1135.123021883162</v>
      </c>
      <c r="H106" s="7">
        <v>947.73071431146252</v>
      </c>
    </row>
    <row r="107" spans="1:8" x14ac:dyDescent="0.3">
      <c r="A107" s="7">
        <v>104</v>
      </c>
      <c r="B107" s="7">
        <v>881.30785172695187</v>
      </c>
      <c r="C107" s="7">
        <v>746.13184865357209</v>
      </c>
      <c r="D107" s="7">
        <v>131</v>
      </c>
      <c r="E107" s="7">
        <v>146</v>
      </c>
      <c r="F107" s="7">
        <v>10368.111913357399</v>
      </c>
      <c r="G107" s="7">
        <v>1695.060261488168</v>
      </c>
      <c r="H107" s="7">
        <v>1450.720291101527</v>
      </c>
    </row>
    <row r="108" spans="1:8" x14ac:dyDescent="0.3">
      <c r="A108" s="7">
        <v>105</v>
      </c>
      <c r="B108" s="7">
        <v>735.15450136893844</v>
      </c>
      <c r="C108" s="7">
        <v>454.34190464101738</v>
      </c>
      <c r="D108" s="7">
        <v>128</v>
      </c>
      <c r="E108" s="7">
        <v>146</v>
      </c>
      <c r="F108" s="7">
        <v>5091.9598540145989</v>
      </c>
      <c r="G108" s="7">
        <v>1511.561087708664</v>
      </c>
      <c r="H108" s="7">
        <v>1244.626694872419</v>
      </c>
    </row>
    <row r="109" spans="1:8" x14ac:dyDescent="0.3">
      <c r="A109" s="7">
        <v>106</v>
      </c>
      <c r="B109" s="7">
        <v>1013.2810877599489</v>
      </c>
      <c r="C109" s="7">
        <v>732.84410906626556</v>
      </c>
      <c r="D109" s="7">
        <v>131</v>
      </c>
      <c r="E109" s="7">
        <v>146</v>
      </c>
      <c r="F109" s="7">
        <v>8697.7003610108295</v>
      </c>
      <c r="G109" s="7">
        <v>1844.667660752461</v>
      </c>
      <c r="H109" s="7">
        <v>1567.259666747568</v>
      </c>
    </row>
    <row r="110" spans="1:8" x14ac:dyDescent="0.3">
      <c r="A110" s="7">
        <v>107</v>
      </c>
      <c r="B110" s="7">
        <v>813.91000853286278</v>
      </c>
      <c r="C110" s="7">
        <v>548.29052081879786</v>
      </c>
      <c r="D110" s="7">
        <v>131</v>
      </c>
      <c r="E110" s="7">
        <v>146</v>
      </c>
      <c r="F110" s="7">
        <v>7736.5595667870039</v>
      </c>
      <c r="G110" s="7">
        <v>1570.650203281655</v>
      </c>
      <c r="H110" s="7">
        <v>1417.6314004956409</v>
      </c>
    </row>
    <row r="111" spans="1:8" x14ac:dyDescent="0.3">
      <c r="A111" s="7">
        <v>108</v>
      </c>
      <c r="B111" s="7">
        <v>1588.0814260873519</v>
      </c>
      <c r="C111" s="7">
        <v>1206.3831472022141</v>
      </c>
      <c r="D111" s="7">
        <v>128</v>
      </c>
      <c r="E111" s="7">
        <v>146</v>
      </c>
      <c r="F111" s="7">
        <v>12458.9197080292</v>
      </c>
      <c r="G111" s="7">
        <v>2890.152474892112</v>
      </c>
      <c r="H111" s="7">
        <v>2905.7259237298381</v>
      </c>
    </row>
    <row r="112" spans="1:8" x14ac:dyDescent="0.3">
      <c r="A112" s="7">
        <v>109</v>
      </c>
      <c r="B112" s="7">
        <v>966.8274751134835</v>
      </c>
      <c r="C112" s="7">
        <v>536.42565875659375</v>
      </c>
      <c r="D112" s="7">
        <v>131</v>
      </c>
      <c r="E112" s="7">
        <v>146</v>
      </c>
      <c r="F112" s="7">
        <v>6597.2960288808663</v>
      </c>
      <c r="G112" s="7">
        <v>1874.5504030941549</v>
      </c>
      <c r="H112" s="7">
        <v>1600.6093381661431</v>
      </c>
    </row>
    <row r="113" spans="1:8" x14ac:dyDescent="0.3">
      <c r="A113" s="7">
        <v>110</v>
      </c>
      <c r="B113" s="7">
        <v>878.09860943424712</v>
      </c>
      <c r="C113" s="7">
        <v>593.42278945028011</v>
      </c>
      <c r="D113" s="7">
        <v>131</v>
      </c>
      <c r="E113" s="7">
        <v>146</v>
      </c>
      <c r="F113" s="7">
        <v>4160.4729241877258</v>
      </c>
      <c r="G113" s="7">
        <v>1369.1409576197991</v>
      </c>
      <c r="H113" s="7">
        <v>1165.82340235537</v>
      </c>
    </row>
    <row r="114" spans="1:8" x14ac:dyDescent="0.3">
      <c r="A114" s="7">
        <v>111</v>
      </c>
      <c r="B114" s="7">
        <v>954.46952295856443</v>
      </c>
      <c r="C114" s="7">
        <v>600.9559825696914</v>
      </c>
      <c r="D114" s="7">
        <v>129</v>
      </c>
      <c r="E114" s="7">
        <v>146</v>
      </c>
      <c r="F114" s="7">
        <v>6839.6727272727276</v>
      </c>
      <c r="G114" s="7">
        <v>2477.2465741518922</v>
      </c>
      <c r="H114" s="7">
        <v>2110.690031946639</v>
      </c>
    </row>
    <row r="115" spans="1:8" x14ac:dyDescent="0.3">
      <c r="A115" s="7">
        <v>112</v>
      </c>
      <c r="B115" s="7">
        <v>763.69588180786843</v>
      </c>
      <c r="C115" s="7">
        <v>522.64349691491077</v>
      </c>
      <c r="D115" s="7">
        <v>131</v>
      </c>
      <c r="E115" s="7">
        <v>146</v>
      </c>
      <c r="F115" s="7">
        <v>6311.1841155234661</v>
      </c>
      <c r="G115" s="7">
        <v>1046.230602344647</v>
      </c>
      <c r="H115" s="7">
        <v>950.6872640214566</v>
      </c>
    </row>
    <row r="116" spans="1:8" x14ac:dyDescent="0.3">
      <c r="A116" s="7">
        <v>113</v>
      </c>
      <c r="B116" s="7">
        <v>1936.6015748488951</v>
      </c>
      <c r="C116" s="7">
        <v>857.98711394239911</v>
      </c>
      <c r="D116" s="7">
        <v>128</v>
      </c>
      <c r="E116" s="7">
        <v>146</v>
      </c>
      <c r="F116" s="7">
        <v>5966.8138686131388</v>
      </c>
      <c r="G116" s="7">
        <v>1509.63634383417</v>
      </c>
      <c r="H116" s="7">
        <v>1323.444494025769</v>
      </c>
    </row>
    <row r="117" spans="1:8" x14ac:dyDescent="0.3">
      <c r="A117" s="7">
        <v>114</v>
      </c>
      <c r="B117" s="7">
        <v>799.51951882158107</v>
      </c>
      <c r="C117" s="7">
        <v>487.57308026964671</v>
      </c>
      <c r="D117" s="7">
        <v>131</v>
      </c>
      <c r="E117" s="7">
        <v>146</v>
      </c>
      <c r="F117" s="7">
        <v>5368.1841155234661</v>
      </c>
      <c r="G117" s="7">
        <v>1705.281190575706</v>
      </c>
      <c r="H117" s="7">
        <v>1540.1662803843219</v>
      </c>
    </row>
    <row r="118" spans="1:8" x14ac:dyDescent="0.3">
      <c r="A118" s="7">
        <v>115</v>
      </c>
      <c r="B118" s="7">
        <v>1890.997544290316</v>
      </c>
      <c r="C118" s="7">
        <v>1017.15737315943</v>
      </c>
      <c r="D118" s="7">
        <v>128</v>
      </c>
      <c r="E118" s="7">
        <v>146</v>
      </c>
      <c r="F118" s="7">
        <v>8117.0437956204378</v>
      </c>
      <c r="G118" s="7">
        <v>1944.383674844036</v>
      </c>
      <c r="H118" s="7">
        <v>1857.3484985875641</v>
      </c>
    </row>
    <row r="119" spans="1:8" x14ac:dyDescent="0.3">
      <c r="A119" s="7">
        <v>116</v>
      </c>
      <c r="B119" s="7">
        <v>866.18140049787019</v>
      </c>
      <c r="C119" s="7">
        <v>653.3332124072366</v>
      </c>
      <c r="D119" s="7">
        <v>131</v>
      </c>
      <c r="E119" s="7">
        <v>146</v>
      </c>
      <c r="F119" s="7">
        <v>7399.9602888086647</v>
      </c>
      <c r="G119" s="7">
        <v>1733.659089813985</v>
      </c>
      <c r="H119" s="7">
        <v>1456.443665469053</v>
      </c>
    </row>
    <row r="120" spans="1:8" x14ac:dyDescent="0.3">
      <c r="A120" s="7">
        <v>117</v>
      </c>
      <c r="B120" s="7">
        <v>635.09643616597896</v>
      </c>
      <c r="C120" s="7">
        <v>346.90717546769889</v>
      </c>
      <c r="D120" s="7">
        <v>129</v>
      </c>
      <c r="E120" s="7">
        <v>146</v>
      </c>
      <c r="F120" s="7">
        <v>3903.258181818182</v>
      </c>
      <c r="G120" s="7">
        <v>1155.0867781756831</v>
      </c>
      <c r="H120" s="7">
        <v>965.25563368268638</v>
      </c>
    </row>
    <row r="121" spans="1:8" x14ac:dyDescent="0.3">
      <c r="A121" s="7">
        <v>118</v>
      </c>
      <c r="B121" s="7">
        <v>1384.9341473196171</v>
      </c>
      <c r="C121" s="7">
        <v>773.50924234696549</v>
      </c>
      <c r="D121" s="7">
        <v>131</v>
      </c>
      <c r="E121" s="7">
        <v>144</v>
      </c>
      <c r="F121" s="7">
        <v>8411.3927272727269</v>
      </c>
      <c r="G121" s="7">
        <v>3234.1713853193251</v>
      </c>
      <c r="H121" s="7">
        <v>2897.761454026961</v>
      </c>
    </row>
    <row r="122" spans="1:8" x14ac:dyDescent="0.3">
      <c r="A122" s="7">
        <v>119</v>
      </c>
      <c r="B122" s="7">
        <v>855.52577754748097</v>
      </c>
      <c r="C122" s="7">
        <v>494.58465975934342</v>
      </c>
      <c r="D122" s="7">
        <v>131</v>
      </c>
      <c r="E122" s="7">
        <v>146</v>
      </c>
      <c r="F122" s="7">
        <v>6083.0902527075814</v>
      </c>
      <c r="G122" s="7">
        <v>1713.011733314539</v>
      </c>
      <c r="H122" s="7">
        <v>1470.111381019391</v>
      </c>
    </row>
    <row r="123" spans="1:8" x14ac:dyDescent="0.3">
      <c r="A123" s="7">
        <v>120</v>
      </c>
      <c r="B123" s="7">
        <v>882.53561142960484</v>
      </c>
      <c r="C123" s="7">
        <v>522.53111052300028</v>
      </c>
      <c r="D123" s="7">
        <v>129</v>
      </c>
      <c r="E123" s="7">
        <v>146</v>
      </c>
      <c r="F123" s="7">
        <v>7201.7527272727266</v>
      </c>
      <c r="G123" s="7">
        <v>2424.2991347137099</v>
      </c>
      <c r="H123" s="7">
        <v>2104.664989773451</v>
      </c>
    </row>
    <row r="124" spans="1:8" x14ac:dyDescent="0.3">
      <c r="A124" s="7">
        <v>121</v>
      </c>
      <c r="B124" s="7">
        <v>709.02849838987311</v>
      </c>
      <c r="C124" s="7">
        <v>451.42417294679382</v>
      </c>
      <c r="D124" s="7">
        <v>131</v>
      </c>
      <c r="E124" s="7">
        <v>146</v>
      </c>
      <c r="F124" s="7">
        <v>4374.8483754512636</v>
      </c>
      <c r="G124" s="7">
        <v>1214.6251424374609</v>
      </c>
      <c r="H124" s="7">
        <v>1115.1966532152369</v>
      </c>
    </row>
    <row r="125" spans="1:8" x14ac:dyDescent="0.3">
      <c r="A125" s="7">
        <v>122</v>
      </c>
      <c r="B125" s="7">
        <v>1350.5149345112111</v>
      </c>
      <c r="C125" s="7">
        <v>1103.095179529955</v>
      </c>
      <c r="D125" s="7">
        <v>131</v>
      </c>
      <c r="E125" s="7">
        <v>181</v>
      </c>
      <c r="F125" s="7">
        <v>6074.9967948717949</v>
      </c>
      <c r="G125" s="7">
        <v>2234.390652456786</v>
      </c>
      <c r="H125" s="7">
        <v>2418.9613382195889</v>
      </c>
    </row>
    <row r="126" spans="1:8" x14ac:dyDescent="0.3">
      <c r="A126" s="7">
        <v>123</v>
      </c>
      <c r="B126" s="7">
        <v>1008.584282160258</v>
      </c>
      <c r="C126" s="7">
        <v>769.10775021698259</v>
      </c>
      <c r="D126" s="7">
        <v>130</v>
      </c>
      <c r="E126" s="7">
        <v>146</v>
      </c>
      <c r="F126" s="7">
        <v>8058.449275362319</v>
      </c>
      <c r="G126" s="7">
        <v>2918.3145768115492</v>
      </c>
      <c r="H126" s="7">
        <v>2537.246375745342</v>
      </c>
    </row>
    <row r="127" spans="1:8" x14ac:dyDescent="0.3">
      <c r="A127" s="7">
        <v>124</v>
      </c>
      <c r="B127" s="7">
        <v>898.28322745453568</v>
      </c>
      <c r="C127" s="7">
        <v>555.10193979901373</v>
      </c>
      <c r="D127" s="7">
        <v>129</v>
      </c>
      <c r="E127" s="7">
        <v>146</v>
      </c>
      <c r="F127" s="7">
        <v>4762.8581818181819</v>
      </c>
      <c r="G127" s="7">
        <v>1454.0142322539</v>
      </c>
      <c r="H127" s="7">
        <v>987.96716017742267</v>
      </c>
    </row>
    <row r="128" spans="1:8" x14ac:dyDescent="0.3">
      <c r="A128" s="7">
        <v>125</v>
      </c>
      <c r="B128" s="7">
        <v>1430.7058389244769</v>
      </c>
      <c r="C128" s="7">
        <v>1128.5686982633281</v>
      </c>
      <c r="D128" s="7">
        <v>131</v>
      </c>
      <c r="E128" s="7">
        <v>146</v>
      </c>
      <c r="F128" s="7">
        <v>12060.819494584841</v>
      </c>
      <c r="G128" s="7">
        <v>3193.8940218643388</v>
      </c>
      <c r="H128" s="7">
        <v>2838.2508287893252</v>
      </c>
    </row>
    <row r="129" spans="1:8" x14ac:dyDescent="0.3">
      <c r="A129" s="7">
        <v>126</v>
      </c>
      <c r="B129" s="7">
        <v>1174.069222025335</v>
      </c>
      <c r="C129" s="7">
        <v>605.75459626470968</v>
      </c>
      <c r="D129" s="7">
        <v>129</v>
      </c>
      <c r="E129" s="7">
        <v>146</v>
      </c>
      <c r="F129" s="7">
        <v>5558.7345454545457</v>
      </c>
      <c r="G129" s="7">
        <v>2345.7996173930201</v>
      </c>
      <c r="H129" s="7">
        <v>1988.9021856565971</v>
      </c>
    </row>
    <row r="130" spans="1:8" x14ac:dyDescent="0.3">
      <c r="A130" s="7">
        <v>127</v>
      </c>
      <c r="B130" s="7">
        <v>2137.3951266859149</v>
      </c>
      <c r="C130" s="7">
        <v>960.46858067342885</v>
      </c>
      <c r="D130" s="7">
        <v>128</v>
      </c>
      <c r="E130" s="7">
        <v>146</v>
      </c>
      <c r="F130" s="7">
        <v>5405.8686131386858</v>
      </c>
      <c r="G130" s="7">
        <v>2494.4910850587339</v>
      </c>
      <c r="H130" s="7">
        <v>2182.4223157729029</v>
      </c>
    </row>
    <row r="131" spans="1:8" x14ac:dyDescent="0.3">
      <c r="A131" s="7">
        <v>128</v>
      </c>
      <c r="B131" s="7">
        <v>1176.0136814815451</v>
      </c>
      <c r="C131" s="7">
        <v>738.40676825713126</v>
      </c>
      <c r="D131" s="7">
        <v>129</v>
      </c>
      <c r="E131" s="7">
        <v>146</v>
      </c>
      <c r="F131" s="7">
        <v>8392.869090909091</v>
      </c>
      <c r="G131" s="7">
        <v>2863.0198806870521</v>
      </c>
      <c r="H131" s="7">
        <v>2543.1050094404468</v>
      </c>
    </row>
    <row r="132" spans="1:8" x14ac:dyDescent="0.3">
      <c r="A132" s="7">
        <v>129</v>
      </c>
      <c r="B132" s="7">
        <v>1355.0353156494159</v>
      </c>
      <c r="C132" s="7">
        <v>802.69148279469096</v>
      </c>
      <c r="D132" s="7">
        <v>128</v>
      </c>
      <c r="E132" s="7">
        <v>146</v>
      </c>
      <c r="F132" s="7">
        <v>9002.5985401459857</v>
      </c>
      <c r="G132" s="7">
        <v>2581.969430613965</v>
      </c>
      <c r="H132" s="7">
        <v>2568.0674707348671</v>
      </c>
    </row>
    <row r="133" spans="1:8" x14ac:dyDescent="0.3">
      <c r="A133" s="7">
        <v>130</v>
      </c>
      <c r="B133" s="7">
        <v>816.65740983755529</v>
      </c>
      <c r="C133" s="7">
        <v>590.50309754005468</v>
      </c>
      <c r="D133" s="7">
        <v>129</v>
      </c>
      <c r="E133" s="7">
        <v>146</v>
      </c>
      <c r="F133" s="7">
        <v>5273.181818181818</v>
      </c>
      <c r="G133" s="7">
        <v>1494.428484780731</v>
      </c>
      <c r="H133" s="7">
        <v>1149.1572015928029</v>
      </c>
    </row>
    <row r="134" spans="1:8" x14ac:dyDescent="0.3">
      <c r="A134" s="7">
        <v>131</v>
      </c>
      <c r="B134" s="7">
        <v>860.26353813994547</v>
      </c>
      <c r="C134" s="7">
        <v>599.82458932714155</v>
      </c>
      <c r="D134" s="7">
        <v>129</v>
      </c>
      <c r="E134" s="7">
        <v>146</v>
      </c>
      <c r="F134" s="7">
        <v>5092.130909090909</v>
      </c>
      <c r="G134" s="7">
        <v>1580.12816181218</v>
      </c>
      <c r="H134" s="7">
        <v>1357.9816686276611</v>
      </c>
    </row>
    <row r="135" spans="1:8" x14ac:dyDescent="0.3">
      <c r="A135" s="7">
        <v>132</v>
      </c>
      <c r="B135" s="7">
        <v>1930.182714307238</v>
      </c>
      <c r="C135" s="7">
        <v>1068.9180216243101</v>
      </c>
      <c r="D135" s="7">
        <v>128</v>
      </c>
      <c r="E135" s="7">
        <v>146</v>
      </c>
      <c r="F135" s="7">
        <v>7334.175182481752</v>
      </c>
      <c r="G135" s="7">
        <v>2188.9033998214718</v>
      </c>
      <c r="H135" s="7">
        <v>2017.6742358264401</v>
      </c>
    </row>
    <row r="136" spans="1:8" x14ac:dyDescent="0.3">
      <c r="A136" s="7">
        <v>133</v>
      </c>
      <c r="B136" s="7">
        <v>935.8990797237999</v>
      </c>
      <c r="C136" s="7">
        <v>542.56914651024783</v>
      </c>
      <c r="D136" s="7">
        <v>131</v>
      </c>
      <c r="E136" s="7">
        <v>146</v>
      </c>
      <c r="F136" s="7">
        <v>6170.1083032490978</v>
      </c>
      <c r="G136" s="7">
        <v>2314.7634060426558</v>
      </c>
      <c r="H136" s="7">
        <v>2040.684334921626</v>
      </c>
    </row>
    <row r="137" spans="1:8" x14ac:dyDescent="0.3">
      <c r="A137" s="7">
        <v>134</v>
      </c>
      <c r="B137" s="7">
        <v>593.75347804136902</v>
      </c>
      <c r="C137" s="7">
        <v>482.42935885340461</v>
      </c>
      <c r="D137" s="7">
        <v>131</v>
      </c>
      <c r="E137" s="7">
        <v>146</v>
      </c>
      <c r="F137" s="7">
        <v>4683.584837545126</v>
      </c>
      <c r="G137" s="7">
        <v>834.52821612660307</v>
      </c>
      <c r="H137" s="7">
        <v>710.71349929644066</v>
      </c>
    </row>
    <row r="138" spans="1:8" x14ac:dyDescent="0.3">
      <c r="A138" s="7">
        <v>135</v>
      </c>
      <c r="B138" s="7">
        <v>848.55931310346341</v>
      </c>
      <c r="C138" s="7">
        <v>510.03297628097857</v>
      </c>
      <c r="D138" s="7">
        <v>129</v>
      </c>
      <c r="E138" s="7">
        <v>146</v>
      </c>
      <c r="F138" s="7">
        <v>6259.0945454545454</v>
      </c>
      <c r="G138" s="7">
        <v>1950.414825684029</v>
      </c>
      <c r="H138" s="7">
        <v>1656.9314248258261</v>
      </c>
    </row>
    <row r="139" spans="1:8" x14ac:dyDescent="0.3">
      <c r="A139" s="7">
        <v>136</v>
      </c>
      <c r="B139" s="7">
        <v>2296.8777708697962</v>
      </c>
      <c r="C139" s="7">
        <v>1038.7326740583951</v>
      </c>
      <c r="D139" s="7">
        <v>128</v>
      </c>
      <c r="E139" s="7">
        <v>146</v>
      </c>
      <c r="F139" s="7">
        <v>5593.3102189781021</v>
      </c>
      <c r="G139" s="7">
        <v>2280.3349928656321</v>
      </c>
      <c r="H139" s="7">
        <v>2084.9228493330952</v>
      </c>
    </row>
    <row r="140" spans="1:8" x14ac:dyDescent="0.3">
      <c r="A140" s="7">
        <v>137</v>
      </c>
      <c r="B140" s="7">
        <v>1552.5828629971711</v>
      </c>
      <c r="C140" s="7">
        <v>710.30517891653631</v>
      </c>
      <c r="D140" s="7">
        <v>128</v>
      </c>
      <c r="E140" s="7">
        <v>146</v>
      </c>
      <c r="F140" s="7">
        <v>8748.1423357664225</v>
      </c>
      <c r="G140" s="7">
        <v>1974.389270682836</v>
      </c>
      <c r="H140" s="7">
        <v>1797.6433678797889</v>
      </c>
    </row>
    <row r="141" spans="1:8" x14ac:dyDescent="0.3">
      <c r="A141" s="7">
        <v>138</v>
      </c>
      <c r="B141" s="7">
        <v>1153.846487365</v>
      </c>
      <c r="C141" s="7">
        <v>738.56540368555068</v>
      </c>
      <c r="D141" s="7">
        <v>131</v>
      </c>
      <c r="E141" s="7">
        <v>146</v>
      </c>
      <c r="F141" s="7">
        <v>7561.6389891696754</v>
      </c>
      <c r="G141" s="7">
        <v>2739.6333877430829</v>
      </c>
      <c r="H141" s="7">
        <v>2390.088848867224</v>
      </c>
    </row>
    <row r="142" spans="1:8" x14ac:dyDescent="0.3">
      <c r="A142" s="7">
        <v>139</v>
      </c>
      <c r="B142" s="7">
        <v>1762.3252972633661</v>
      </c>
      <c r="C142" s="7">
        <v>1032.908522594664</v>
      </c>
      <c r="D142" s="7">
        <v>128</v>
      </c>
      <c r="E142" s="7">
        <v>146</v>
      </c>
      <c r="F142" s="7">
        <v>6658.4598540145989</v>
      </c>
      <c r="G142" s="7">
        <v>1908.051466401653</v>
      </c>
      <c r="H142" s="7">
        <v>1864.7072560283909</v>
      </c>
    </row>
    <row r="143" spans="1:8" x14ac:dyDescent="0.3">
      <c r="A143" s="7">
        <v>140</v>
      </c>
      <c r="B143" s="7">
        <v>912.88648477010543</v>
      </c>
      <c r="C143" s="7">
        <v>845.86698776823062</v>
      </c>
      <c r="D143" s="7">
        <v>129</v>
      </c>
      <c r="E143" s="7">
        <v>146</v>
      </c>
      <c r="F143" s="7">
        <v>7702.6581818181821</v>
      </c>
      <c r="G143" s="7">
        <v>2156.16164845393</v>
      </c>
      <c r="H143" s="7">
        <v>1972.5938872042609</v>
      </c>
    </row>
    <row r="144" spans="1:8" x14ac:dyDescent="0.3">
      <c r="A144" s="7">
        <v>141</v>
      </c>
      <c r="B144" s="7">
        <v>829.00213492375951</v>
      </c>
      <c r="C144" s="7">
        <v>445.75551568507302</v>
      </c>
      <c r="D144" s="7">
        <v>128</v>
      </c>
      <c r="E144" s="7">
        <v>146</v>
      </c>
      <c r="F144" s="7">
        <v>5628.5693430656938</v>
      </c>
      <c r="G144" s="7">
        <v>1910.2553596476309</v>
      </c>
      <c r="H144" s="7">
        <v>1691.5164490067109</v>
      </c>
    </row>
    <row r="145" spans="1:8" x14ac:dyDescent="0.3">
      <c r="A145" s="7">
        <v>142</v>
      </c>
      <c r="B145" s="7">
        <v>794.81019774641788</v>
      </c>
      <c r="C145" s="7">
        <v>460.18066162048649</v>
      </c>
      <c r="D145" s="7">
        <v>129</v>
      </c>
      <c r="E145" s="7">
        <v>146</v>
      </c>
      <c r="F145" s="7">
        <v>4673.8654545454547</v>
      </c>
      <c r="G145" s="7">
        <v>1259.797332045697</v>
      </c>
      <c r="H145" s="7">
        <v>956.04358816204262</v>
      </c>
    </row>
    <row r="146" spans="1:8" x14ac:dyDescent="0.3">
      <c r="A146" s="7">
        <v>143</v>
      </c>
      <c r="B146" s="7">
        <v>920.35462265682418</v>
      </c>
      <c r="C146" s="7">
        <v>528.8473642825021</v>
      </c>
      <c r="D146" s="7">
        <v>129</v>
      </c>
      <c r="E146" s="7">
        <v>146</v>
      </c>
      <c r="F146" s="7">
        <v>6465.0036363636364</v>
      </c>
      <c r="G146" s="7">
        <v>2393.498192374338</v>
      </c>
      <c r="H146" s="7">
        <v>2123.0250242106558</v>
      </c>
    </row>
    <row r="147" spans="1:8" x14ac:dyDescent="0.3">
      <c r="A147" s="7">
        <v>144</v>
      </c>
      <c r="B147" s="7">
        <v>1843.7220255865341</v>
      </c>
      <c r="C147" s="7">
        <v>1023.981553033206</v>
      </c>
      <c r="D147" s="7">
        <v>128</v>
      </c>
      <c r="E147" s="7">
        <v>148</v>
      </c>
      <c r="F147" s="7">
        <v>7341.86231884058</v>
      </c>
      <c r="G147" s="7">
        <v>2107.196297067504</v>
      </c>
      <c r="H147" s="7">
        <v>2197.475544862848</v>
      </c>
    </row>
    <row r="148" spans="1:8" x14ac:dyDescent="0.3">
      <c r="A148" s="7">
        <v>145</v>
      </c>
      <c r="B148" s="7">
        <v>1605.810051414401</v>
      </c>
      <c r="C148" s="7">
        <v>679.43318107045434</v>
      </c>
      <c r="D148" s="7">
        <v>128</v>
      </c>
      <c r="E148" s="7">
        <v>146</v>
      </c>
      <c r="F148" s="7">
        <v>7724.0474452554736</v>
      </c>
      <c r="G148" s="7">
        <v>2222.786205559365</v>
      </c>
      <c r="H148" s="7">
        <v>2134.396207650509</v>
      </c>
    </row>
    <row r="149" spans="1:8" x14ac:dyDescent="0.3">
      <c r="A149" s="7">
        <v>146</v>
      </c>
      <c r="B149" s="7">
        <v>1119.7539820961979</v>
      </c>
      <c r="C149" s="7">
        <v>758.66024918511778</v>
      </c>
      <c r="D149" s="7">
        <v>129</v>
      </c>
      <c r="E149" s="7">
        <v>146</v>
      </c>
      <c r="F149" s="7">
        <v>8436.5890909090904</v>
      </c>
      <c r="G149" s="7">
        <v>2876.2352061749589</v>
      </c>
      <c r="H149" s="7">
        <v>2565.7738425198158</v>
      </c>
    </row>
    <row r="150" spans="1:8" x14ac:dyDescent="0.3">
      <c r="A150" s="7">
        <v>147</v>
      </c>
      <c r="B150" s="7">
        <v>1013.1806660969251</v>
      </c>
      <c r="C150" s="7">
        <v>633.25803835527256</v>
      </c>
      <c r="D150" s="7">
        <v>129</v>
      </c>
      <c r="E150" s="7">
        <v>146</v>
      </c>
      <c r="F150" s="7">
        <v>8402.9709090909091</v>
      </c>
      <c r="G150" s="7">
        <v>2636.9161942511319</v>
      </c>
      <c r="H150" s="7">
        <v>2385.1229255245971</v>
      </c>
    </row>
    <row r="151" spans="1:8" x14ac:dyDescent="0.3">
      <c r="A151" s="7">
        <v>148</v>
      </c>
      <c r="B151" s="7">
        <v>943.38970540065861</v>
      </c>
      <c r="C151" s="7">
        <v>767.47845230882319</v>
      </c>
      <c r="D151" s="7">
        <v>131</v>
      </c>
      <c r="E151" s="7">
        <v>146</v>
      </c>
      <c r="F151" s="7">
        <v>9004.3140794223818</v>
      </c>
      <c r="G151" s="7">
        <v>1887.473231193831</v>
      </c>
      <c r="H151" s="7">
        <v>1604.3980030076059</v>
      </c>
    </row>
    <row r="152" spans="1:8" x14ac:dyDescent="0.3">
      <c r="A152" s="7">
        <v>149</v>
      </c>
      <c r="B152" s="7">
        <v>1959.468675651689</v>
      </c>
      <c r="C152" s="7">
        <v>924.15236501601407</v>
      </c>
      <c r="D152" s="7">
        <v>128</v>
      </c>
      <c r="E152" s="7">
        <v>146</v>
      </c>
      <c r="F152" s="7">
        <v>5521.6459854014602</v>
      </c>
      <c r="G152" s="7">
        <v>1917.780353527223</v>
      </c>
      <c r="H152" s="7">
        <v>1825.5389033573711</v>
      </c>
    </row>
    <row r="153" spans="1:8" x14ac:dyDescent="0.3">
      <c r="A153" s="7">
        <v>150</v>
      </c>
      <c r="B153" s="7">
        <v>1244.687618155923</v>
      </c>
      <c r="C153" s="7">
        <v>852.67689007250294</v>
      </c>
      <c r="D153" s="7">
        <v>131</v>
      </c>
      <c r="E153" s="7">
        <v>146</v>
      </c>
      <c r="F153" s="7">
        <v>8689.4476534296027</v>
      </c>
      <c r="G153" s="7">
        <v>2833.1638034897628</v>
      </c>
      <c r="H153" s="7">
        <v>2605.768420570761</v>
      </c>
    </row>
    <row r="154" spans="1:8" x14ac:dyDescent="0.3">
      <c r="A154" s="7">
        <v>151</v>
      </c>
      <c r="B154" s="7">
        <v>1048.7079156402749</v>
      </c>
      <c r="C154" s="7">
        <v>631.75850471932688</v>
      </c>
      <c r="D154" s="7">
        <v>130</v>
      </c>
      <c r="E154" s="7">
        <v>146</v>
      </c>
      <c r="F154" s="7">
        <v>7224.963768115942</v>
      </c>
      <c r="G154" s="7">
        <v>2542.9993662844431</v>
      </c>
      <c r="H154" s="7">
        <v>2238.8955095626338</v>
      </c>
    </row>
    <row r="155" spans="1:8" x14ac:dyDescent="0.3">
      <c r="A155" s="7">
        <v>152</v>
      </c>
      <c r="B155" s="7">
        <v>989.47625027303241</v>
      </c>
      <c r="C155" s="7">
        <v>445.3818949888676</v>
      </c>
      <c r="D155" s="7">
        <v>129</v>
      </c>
      <c r="E155" s="7">
        <v>146</v>
      </c>
      <c r="F155" s="7">
        <v>5717.0036363636364</v>
      </c>
      <c r="G155" s="7">
        <v>2169.04366988322</v>
      </c>
      <c r="H155" s="7">
        <v>1790.9422770502761</v>
      </c>
    </row>
    <row r="156" spans="1:8" x14ac:dyDescent="0.3">
      <c r="A156" s="7">
        <v>153</v>
      </c>
      <c r="B156" s="7">
        <v>1017.455211414851</v>
      </c>
      <c r="C156" s="7">
        <v>613.79094433754324</v>
      </c>
      <c r="D156" s="7">
        <v>129</v>
      </c>
      <c r="E156" s="7">
        <v>146</v>
      </c>
      <c r="F156" s="7">
        <v>6491.8</v>
      </c>
      <c r="G156" s="7">
        <v>2850.577469036185</v>
      </c>
      <c r="H156" s="7">
        <v>2540.3084539275719</v>
      </c>
    </row>
    <row r="157" spans="1:8" x14ac:dyDescent="0.3">
      <c r="A157" s="7">
        <v>154</v>
      </c>
      <c r="B157" s="7">
        <v>1276.46017052002</v>
      </c>
      <c r="C157" s="7">
        <v>760.4217780128331</v>
      </c>
      <c r="D157" s="7">
        <v>129</v>
      </c>
      <c r="E157" s="7">
        <v>146</v>
      </c>
      <c r="F157" s="7">
        <v>9173.1527272727271</v>
      </c>
      <c r="G157" s="7">
        <v>3301.1385691474961</v>
      </c>
      <c r="H157" s="7">
        <v>2718.5284609786022</v>
      </c>
    </row>
    <row r="158" spans="1:8" x14ac:dyDescent="0.3">
      <c r="A158" s="7">
        <v>155</v>
      </c>
      <c r="B158" s="7">
        <v>1632.4904679872129</v>
      </c>
      <c r="C158" s="7">
        <v>879.5194148034949</v>
      </c>
      <c r="D158" s="7">
        <v>128</v>
      </c>
      <c r="E158" s="7">
        <v>146</v>
      </c>
      <c r="F158" s="7">
        <v>7262.8029197080295</v>
      </c>
      <c r="G158" s="7">
        <v>2358.1872457329382</v>
      </c>
      <c r="H158" s="7">
        <v>2169.8684670697348</v>
      </c>
    </row>
    <row r="159" spans="1:8" x14ac:dyDescent="0.3">
      <c r="A159" s="7">
        <v>156</v>
      </c>
      <c r="B159" s="7">
        <v>1013.3064836095</v>
      </c>
      <c r="C159" s="7">
        <v>632.17924198698677</v>
      </c>
      <c r="D159" s="7">
        <v>131</v>
      </c>
      <c r="E159" s="7">
        <v>146</v>
      </c>
      <c r="F159" s="7">
        <v>6864.5342960288808</v>
      </c>
      <c r="G159" s="7">
        <v>2987.5861148916078</v>
      </c>
      <c r="H159" s="7">
        <v>2650.7262315815492</v>
      </c>
    </row>
    <row r="160" spans="1:8" x14ac:dyDescent="0.3">
      <c r="A160" s="7">
        <v>157</v>
      </c>
      <c r="B160" s="7">
        <v>1495.401854057264</v>
      </c>
      <c r="C160" s="7">
        <v>734.32302273929793</v>
      </c>
      <c r="D160" s="7">
        <v>129</v>
      </c>
      <c r="E160" s="7">
        <v>146</v>
      </c>
      <c r="F160" s="7">
        <v>9976.7345454545448</v>
      </c>
      <c r="G160" s="7">
        <v>3052.499148937402</v>
      </c>
      <c r="H160" s="7">
        <v>2498.2198730789441</v>
      </c>
    </row>
    <row r="161" spans="1:8" x14ac:dyDescent="0.3">
      <c r="A161" s="7">
        <v>158</v>
      </c>
      <c r="B161" s="7">
        <v>1376.692729682052</v>
      </c>
      <c r="C161" s="7">
        <v>763.94063338521141</v>
      </c>
      <c r="D161" s="7">
        <v>129</v>
      </c>
      <c r="E161" s="7">
        <v>146</v>
      </c>
      <c r="F161" s="7">
        <v>8382.9018181818174</v>
      </c>
      <c r="G161" s="7">
        <v>2386.27958296215</v>
      </c>
      <c r="H161" s="7">
        <v>1884.2575660833811</v>
      </c>
    </row>
    <row r="162" spans="1:8" x14ac:dyDescent="0.3">
      <c r="A162" s="7">
        <v>159</v>
      </c>
      <c r="B162" s="7">
        <v>1411.337397011964</v>
      </c>
      <c r="C162" s="7">
        <v>740.41012857840349</v>
      </c>
      <c r="D162" s="7">
        <v>128</v>
      </c>
      <c r="E162" s="7">
        <v>146</v>
      </c>
      <c r="F162" s="7">
        <v>7710.7262773722632</v>
      </c>
      <c r="G162" s="7">
        <v>2791.1223157092199</v>
      </c>
      <c r="H162" s="7">
        <v>2660.4424122252908</v>
      </c>
    </row>
    <row r="163" spans="1:8" x14ac:dyDescent="0.3">
      <c r="A163" s="7">
        <v>160</v>
      </c>
      <c r="B163" s="7">
        <v>844.94763716562852</v>
      </c>
      <c r="C163" s="7">
        <v>475.78010507178612</v>
      </c>
      <c r="D163" s="7">
        <v>129</v>
      </c>
      <c r="E163" s="7">
        <v>146</v>
      </c>
      <c r="F163" s="7">
        <v>5685.0218181818182</v>
      </c>
      <c r="G163" s="7">
        <v>1956.2759194112209</v>
      </c>
      <c r="H163" s="7">
        <v>1686.277394752949</v>
      </c>
    </row>
    <row r="164" spans="1:8" x14ac:dyDescent="0.3">
      <c r="A164" s="7">
        <v>161</v>
      </c>
      <c r="B164" s="7">
        <v>1113.542613777558</v>
      </c>
      <c r="C164" s="7">
        <v>604.62520295568697</v>
      </c>
      <c r="D164" s="7">
        <v>129</v>
      </c>
      <c r="E164" s="7">
        <v>146</v>
      </c>
      <c r="F164" s="7">
        <v>7584.6254545454549</v>
      </c>
      <c r="G164" s="7">
        <v>1917.4232972338671</v>
      </c>
      <c r="H164" s="7">
        <v>1617.3682305370919</v>
      </c>
    </row>
    <row r="165" spans="1:8" x14ac:dyDescent="0.3">
      <c r="A165" s="7">
        <v>162</v>
      </c>
      <c r="B165" s="7">
        <v>1111.0700492746871</v>
      </c>
      <c r="C165" s="7">
        <v>781.02344154052787</v>
      </c>
      <c r="D165" s="7">
        <v>129</v>
      </c>
      <c r="E165" s="7">
        <v>146</v>
      </c>
      <c r="F165" s="7">
        <v>7777.72</v>
      </c>
      <c r="G165" s="7">
        <v>3119.3487704868762</v>
      </c>
      <c r="H165" s="7">
        <v>2758.332855881541</v>
      </c>
    </row>
    <row r="166" spans="1:8" x14ac:dyDescent="0.3">
      <c r="A166" s="7">
        <v>163</v>
      </c>
      <c r="B166" s="7">
        <v>705.20300324498271</v>
      </c>
      <c r="C166" s="7">
        <v>731.68695953793053</v>
      </c>
      <c r="D166" s="7">
        <v>131</v>
      </c>
      <c r="E166" s="7">
        <v>146</v>
      </c>
      <c r="F166" s="7">
        <v>6885.3718411552354</v>
      </c>
      <c r="G166" s="7">
        <v>1135.010602903026</v>
      </c>
      <c r="H166" s="7">
        <v>1091.968754257178</v>
      </c>
    </row>
    <row r="167" spans="1:8" x14ac:dyDescent="0.3">
      <c r="A167" s="7">
        <v>164</v>
      </c>
      <c r="B167" s="7">
        <v>1740.829577511523</v>
      </c>
      <c r="C167" s="7">
        <v>903.64507109763986</v>
      </c>
      <c r="D167" s="7">
        <v>128</v>
      </c>
      <c r="E167" s="7">
        <v>146</v>
      </c>
      <c r="F167" s="7">
        <v>6629.8941605839418</v>
      </c>
      <c r="G167" s="7">
        <v>2716.240928424796</v>
      </c>
      <c r="H167" s="7">
        <v>2515.4634162774341</v>
      </c>
    </row>
    <row r="168" spans="1:8" x14ac:dyDescent="0.3">
      <c r="A168" s="7">
        <v>165</v>
      </c>
      <c r="B168" s="7">
        <v>2387.454282313201</v>
      </c>
      <c r="C168" s="7">
        <v>1002.927320245211</v>
      </c>
      <c r="D168" s="7">
        <v>128</v>
      </c>
      <c r="E168" s="7">
        <v>146</v>
      </c>
      <c r="F168" s="7">
        <v>3907.5218978102189</v>
      </c>
      <c r="G168" s="7">
        <v>1065.594493698236</v>
      </c>
      <c r="H168" s="7">
        <v>1017.895902581964</v>
      </c>
    </row>
    <row r="169" spans="1:8" x14ac:dyDescent="0.3">
      <c r="A169" s="7">
        <v>166</v>
      </c>
      <c r="B169" s="7">
        <v>1021.709028503021</v>
      </c>
      <c r="C169" s="7">
        <v>644.29650142675916</v>
      </c>
      <c r="D169" s="7">
        <v>129</v>
      </c>
      <c r="E169" s="7">
        <v>146</v>
      </c>
      <c r="F169" s="7">
        <v>5442.7345454545457</v>
      </c>
      <c r="G169" s="7">
        <v>1837.8530932172091</v>
      </c>
      <c r="H169" s="7">
        <v>1544.5483579794411</v>
      </c>
    </row>
    <row r="170" spans="1:8" x14ac:dyDescent="0.3">
      <c r="A170" s="7">
        <v>167</v>
      </c>
      <c r="B170" s="7">
        <v>1429.0473563346609</v>
      </c>
      <c r="C170" s="7">
        <v>784.34169268081166</v>
      </c>
      <c r="D170" s="7">
        <v>130</v>
      </c>
      <c r="E170" s="7">
        <v>146</v>
      </c>
      <c r="F170" s="7">
        <v>9541.561594202898</v>
      </c>
      <c r="G170" s="7">
        <v>3631.4674645594509</v>
      </c>
      <c r="H170" s="7">
        <v>3142.8264752328691</v>
      </c>
    </row>
    <row r="171" spans="1:8" x14ac:dyDescent="0.3">
      <c r="A171" s="7">
        <v>168</v>
      </c>
      <c r="B171" s="7">
        <v>952.07800550308457</v>
      </c>
      <c r="C171" s="7">
        <v>580.67210869950429</v>
      </c>
      <c r="D171" s="7">
        <v>128</v>
      </c>
      <c r="E171" s="7">
        <v>146</v>
      </c>
      <c r="F171" s="7">
        <v>7667.7992700729928</v>
      </c>
      <c r="G171" s="7">
        <v>2473.2905918153861</v>
      </c>
      <c r="H171" s="7">
        <v>2159.6428722398609</v>
      </c>
    </row>
    <row r="172" spans="1:8" x14ac:dyDescent="0.3">
      <c r="A172" s="7">
        <v>169</v>
      </c>
      <c r="B172" s="7">
        <v>772.19741085554017</v>
      </c>
      <c r="C172" s="7">
        <v>508.98731833356959</v>
      </c>
      <c r="D172" s="7">
        <v>129</v>
      </c>
      <c r="E172" s="7">
        <v>146</v>
      </c>
      <c r="F172" s="7">
        <v>6069.454545454545</v>
      </c>
      <c r="G172" s="7">
        <v>2062.6450750011149</v>
      </c>
      <c r="H172" s="7">
        <v>1806.7859130556769</v>
      </c>
    </row>
    <row r="173" spans="1:8" x14ac:dyDescent="0.3">
      <c r="A173" s="7">
        <v>170</v>
      </c>
      <c r="B173" s="7">
        <v>997.07677218678782</v>
      </c>
      <c r="C173" s="7">
        <v>623.11867777224472</v>
      </c>
      <c r="D173" s="7">
        <v>129</v>
      </c>
      <c r="E173" s="7">
        <v>146</v>
      </c>
      <c r="F173" s="7">
        <v>4745.4363636363632</v>
      </c>
      <c r="G173" s="7">
        <v>1653.9446247397241</v>
      </c>
      <c r="H173" s="7">
        <v>1437.9041254452959</v>
      </c>
    </row>
    <row r="174" spans="1:8" x14ac:dyDescent="0.3">
      <c r="A174" s="7">
        <v>171</v>
      </c>
      <c r="B174" s="7">
        <v>986.52777538846351</v>
      </c>
      <c r="C174" s="7">
        <v>607.12577378835704</v>
      </c>
      <c r="D174" s="7">
        <v>129</v>
      </c>
      <c r="E174" s="7">
        <v>146</v>
      </c>
      <c r="F174" s="7">
        <v>8586.6618181818176</v>
      </c>
      <c r="G174" s="7">
        <v>2856.7346160724601</v>
      </c>
      <c r="H174" s="7">
        <v>2609.4450388844948</v>
      </c>
    </row>
    <row r="175" spans="1:8" x14ac:dyDescent="0.3">
      <c r="A175" s="7">
        <v>172</v>
      </c>
      <c r="B175" s="7">
        <v>2088.1175131229729</v>
      </c>
      <c r="C175" s="7">
        <v>897.48308673900544</v>
      </c>
      <c r="D175" s="7">
        <v>128</v>
      </c>
      <c r="E175" s="7">
        <v>146</v>
      </c>
      <c r="F175" s="7">
        <v>7196.4817518248174</v>
      </c>
      <c r="G175" s="7">
        <v>1274.7508273678429</v>
      </c>
      <c r="H175" s="7">
        <v>1151.1519810874861</v>
      </c>
    </row>
    <row r="176" spans="1:8" x14ac:dyDescent="0.3">
      <c r="A176" s="7">
        <v>173</v>
      </c>
      <c r="B176" s="7">
        <v>913.88162377338404</v>
      </c>
      <c r="C176" s="7">
        <v>540.69494780159573</v>
      </c>
      <c r="D176" s="7">
        <v>131</v>
      </c>
      <c r="E176" s="7">
        <v>146</v>
      </c>
      <c r="F176" s="7">
        <v>8074.3104693140785</v>
      </c>
      <c r="G176" s="7">
        <v>2451.8606846217622</v>
      </c>
      <c r="H176" s="7">
        <v>2111.3321364510512</v>
      </c>
    </row>
    <row r="177" spans="1:8" x14ac:dyDescent="0.3">
      <c r="A177" s="7">
        <v>174</v>
      </c>
      <c r="B177" s="7">
        <v>1881.8670544920831</v>
      </c>
      <c r="C177" s="7">
        <v>750.8400571084303</v>
      </c>
      <c r="D177" s="7">
        <v>128</v>
      </c>
      <c r="E177" s="7">
        <v>146</v>
      </c>
      <c r="F177" s="7">
        <v>6209.6824817518254</v>
      </c>
      <c r="G177" s="7">
        <v>1292.602972808163</v>
      </c>
      <c r="H177" s="7">
        <v>1256.7493511065959</v>
      </c>
    </row>
    <row r="178" spans="1:8" x14ac:dyDescent="0.3">
      <c r="A178" s="7">
        <v>175</v>
      </c>
      <c r="B178" s="7">
        <v>830.70967339708579</v>
      </c>
      <c r="C178" s="7">
        <v>590.77580230446893</v>
      </c>
      <c r="D178" s="7">
        <v>131</v>
      </c>
      <c r="E178" s="7">
        <v>146</v>
      </c>
      <c r="F178" s="7">
        <v>6034.3646209386279</v>
      </c>
      <c r="G178" s="7">
        <v>1733.295264310857</v>
      </c>
      <c r="H178" s="7">
        <v>1557.0281404447981</v>
      </c>
    </row>
    <row r="179" spans="1:8" x14ac:dyDescent="0.3">
      <c r="A179" s="7">
        <v>176</v>
      </c>
      <c r="B179" s="7">
        <v>907.86719163150849</v>
      </c>
      <c r="C179" s="7">
        <v>408.1134162775096</v>
      </c>
      <c r="D179" s="7">
        <v>129</v>
      </c>
      <c r="E179" s="7">
        <v>146</v>
      </c>
      <c r="F179" s="7">
        <v>5319.647272727273</v>
      </c>
      <c r="G179" s="7">
        <v>1942.973853490787</v>
      </c>
      <c r="H179" s="7">
        <v>1603.4731930474909</v>
      </c>
    </row>
    <row r="180" spans="1:8" x14ac:dyDescent="0.3">
      <c r="A180" s="7">
        <v>177</v>
      </c>
      <c r="B180" s="7">
        <v>527.24908709835768</v>
      </c>
      <c r="C180" s="7">
        <v>393.75431632019621</v>
      </c>
      <c r="D180" s="7">
        <v>130</v>
      </c>
      <c r="E180" s="7">
        <v>146</v>
      </c>
      <c r="F180" s="7">
        <v>4022.221014492754</v>
      </c>
      <c r="G180" s="7">
        <v>1325.740138709172</v>
      </c>
      <c r="H180" s="7">
        <v>1144.623611642171</v>
      </c>
    </row>
    <row r="181" spans="1:8" x14ac:dyDescent="0.3">
      <c r="A181" s="7">
        <v>178</v>
      </c>
      <c r="B181" s="7">
        <v>1397.825598140106</v>
      </c>
      <c r="C181" s="7">
        <v>730.79663007673719</v>
      </c>
      <c r="D181" s="7">
        <v>131</v>
      </c>
      <c r="E181" s="7">
        <v>146</v>
      </c>
      <c r="F181" s="7">
        <v>10411.736462093861</v>
      </c>
      <c r="G181" s="7">
        <v>3594.516082900313</v>
      </c>
      <c r="H181" s="7">
        <v>3292.8022229481162</v>
      </c>
    </row>
    <row r="182" spans="1:8" x14ac:dyDescent="0.3">
      <c r="A182" s="7">
        <v>179</v>
      </c>
      <c r="B182" s="7">
        <v>1185.5745800751131</v>
      </c>
      <c r="C182" s="7">
        <v>789.27402454237779</v>
      </c>
      <c r="D182" s="7">
        <v>129</v>
      </c>
      <c r="E182" s="7">
        <v>146</v>
      </c>
      <c r="F182" s="7">
        <v>7612.3309090909088</v>
      </c>
      <c r="G182" s="7">
        <v>2820.2259420729192</v>
      </c>
      <c r="H182" s="7">
        <v>2518.215160761767</v>
      </c>
    </row>
    <row r="183" spans="1:8" x14ac:dyDescent="0.3">
      <c r="A183" s="7">
        <v>180</v>
      </c>
      <c r="B183" s="7">
        <v>1043.034648596386</v>
      </c>
      <c r="C183" s="7">
        <v>596.97274245720405</v>
      </c>
      <c r="D183" s="7">
        <v>131</v>
      </c>
      <c r="E183" s="7">
        <v>146</v>
      </c>
      <c r="F183" s="7">
        <v>7385.9241877256318</v>
      </c>
      <c r="G183" s="7">
        <v>2334.9375573977491</v>
      </c>
      <c r="H183" s="7">
        <v>1967.2166938463961</v>
      </c>
    </row>
    <row r="184" spans="1:8" x14ac:dyDescent="0.3">
      <c r="A184" s="7">
        <v>181</v>
      </c>
      <c r="B184" s="7">
        <v>1536.2972708995489</v>
      </c>
      <c r="C184" s="7">
        <v>837.09414949134612</v>
      </c>
      <c r="D184" s="7">
        <v>128</v>
      </c>
      <c r="E184" s="7">
        <v>146</v>
      </c>
      <c r="F184" s="7">
        <v>6260.5364963503653</v>
      </c>
      <c r="G184" s="7">
        <v>2693.936398713322</v>
      </c>
      <c r="H184" s="7">
        <v>2669.4205209760821</v>
      </c>
    </row>
    <row r="185" spans="1:8" x14ac:dyDescent="0.3">
      <c r="A185" s="7">
        <v>182</v>
      </c>
      <c r="B185" s="7">
        <v>907.98579406323597</v>
      </c>
      <c r="C185" s="7">
        <v>619.01982194039442</v>
      </c>
      <c r="D185" s="7">
        <v>129</v>
      </c>
      <c r="E185" s="7">
        <v>146</v>
      </c>
      <c r="F185" s="7">
        <v>5740.4872727272723</v>
      </c>
      <c r="G185" s="7">
        <v>2098.4389417488569</v>
      </c>
      <c r="H185" s="7">
        <v>1897.0978213670519</v>
      </c>
    </row>
    <row r="186" spans="1:8" x14ac:dyDescent="0.3">
      <c r="A186" s="7">
        <v>183</v>
      </c>
      <c r="B186" s="7">
        <v>3024.1829320268821</v>
      </c>
      <c r="C186" s="7">
        <v>1460.8414506016361</v>
      </c>
      <c r="D186" s="7">
        <v>122</v>
      </c>
      <c r="E186" s="7">
        <v>138</v>
      </c>
      <c r="F186" s="7">
        <v>5099.3846153846152</v>
      </c>
      <c r="G186" s="7">
        <v>2535.2648566653979</v>
      </c>
      <c r="H186" s="7">
        <v>1936.3537319824391</v>
      </c>
    </row>
    <row r="187" spans="1:8" x14ac:dyDescent="0.3">
      <c r="A187" s="7">
        <v>184</v>
      </c>
      <c r="B187" s="7">
        <v>1014.199430501779</v>
      </c>
      <c r="C187" s="7">
        <v>642.87066670846707</v>
      </c>
      <c r="D187" s="7">
        <v>129</v>
      </c>
      <c r="E187" s="7">
        <v>146</v>
      </c>
      <c r="F187" s="7">
        <v>6696.9309090909092</v>
      </c>
      <c r="G187" s="7">
        <v>2235.0140436233951</v>
      </c>
      <c r="H187" s="7">
        <v>1915.793438761079</v>
      </c>
    </row>
    <row r="188" spans="1:8" x14ac:dyDescent="0.3">
      <c r="A188" s="7">
        <v>185</v>
      </c>
      <c r="B188" s="7">
        <v>1208.425436387294</v>
      </c>
      <c r="C188" s="7">
        <v>843.07407357685406</v>
      </c>
      <c r="D188" s="7">
        <v>131</v>
      </c>
      <c r="E188" s="7">
        <v>146</v>
      </c>
      <c r="F188" s="7">
        <v>7625.4909747292422</v>
      </c>
      <c r="G188" s="7">
        <v>2569.5784042469918</v>
      </c>
      <c r="H188" s="7">
        <v>2356.4783336551809</v>
      </c>
    </row>
    <row r="189" spans="1:8" x14ac:dyDescent="0.3">
      <c r="A189" s="7">
        <v>186</v>
      </c>
      <c r="B189" s="7">
        <v>2379.787307031062</v>
      </c>
      <c r="C189" s="7">
        <v>863.51949690157778</v>
      </c>
      <c r="D189" s="7">
        <v>128</v>
      </c>
      <c r="E189" s="7">
        <v>146</v>
      </c>
      <c r="F189" s="7">
        <v>4012.7262773722632</v>
      </c>
      <c r="G189" s="7">
        <v>1271.607530229945</v>
      </c>
      <c r="H189" s="7">
        <v>1202.8615652707001</v>
      </c>
    </row>
    <row r="190" spans="1:8" x14ac:dyDescent="0.3">
      <c r="A190" s="7">
        <v>187</v>
      </c>
      <c r="B190" s="7">
        <v>973.05327997083509</v>
      </c>
      <c r="C190" s="7">
        <v>604.24830448278271</v>
      </c>
      <c r="D190" s="7">
        <v>131</v>
      </c>
      <c r="E190" s="7">
        <v>146</v>
      </c>
      <c r="F190" s="7">
        <v>6221.4079422382674</v>
      </c>
      <c r="G190" s="7">
        <v>1958.496213896603</v>
      </c>
      <c r="H190" s="7">
        <v>1738.0574674831589</v>
      </c>
    </row>
    <row r="191" spans="1:8" x14ac:dyDescent="0.3">
      <c r="A191" s="7">
        <v>188</v>
      </c>
      <c r="B191" s="7">
        <v>871.75972583397117</v>
      </c>
      <c r="C191" s="7">
        <v>562.81996368389628</v>
      </c>
      <c r="D191" s="7">
        <v>129</v>
      </c>
      <c r="E191" s="7">
        <v>146</v>
      </c>
      <c r="F191" s="7">
        <v>5336.3927272727269</v>
      </c>
      <c r="G191" s="7">
        <v>2282.78700361553</v>
      </c>
      <c r="H191" s="7">
        <v>2003.8658477094809</v>
      </c>
    </row>
    <row r="192" spans="1:8" x14ac:dyDescent="0.3">
      <c r="A192" s="7">
        <v>189</v>
      </c>
      <c r="B192" s="7">
        <v>1436.19775461375</v>
      </c>
      <c r="C192" s="7">
        <v>674.29370923722217</v>
      </c>
      <c r="D192" s="7">
        <v>129</v>
      </c>
      <c r="E192" s="7">
        <v>146</v>
      </c>
      <c r="F192" s="7">
        <v>8544.9418181818182</v>
      </c>
      <c r="G192" s="7">
        <v>2967.6253864173159</v>
      </c>
      <c r="H192" s="7">
        <v>2351.0640435739519</v>
      </c>
    </row>
    <row r="193" spans="1:8" x14ac:dyDescent="0.3">
      <c r="A193" s="7">
        <v>190</v>
      </c>
      <c r="B193" s="7">
        <v>1595.6662914417409</v>
      </c>
      <c r="C193" s="7">
        <v>917.85880489318504</v>
      </c>
      <c r="D193" s="7">
        <v>128</v>
      </c>
      <c r="E193" s="7">
        <v>146</v>
      </c>
      <c r="F193" s="7">
        <v>7778.6423357664225</v>
      </c>
      <c r="G193" s="7">
        <v>1707.728452872411</v>
      </c>
      <c r="H193" s="7">
        <v>1750.3604951591251</v>
      </c>
    </row>
    <row r="194" spans="1:8" x14ac:dyDescent="0.3">
      <c r="A194" s="7">
        <v>191</v>
      </c>
      <c r="B194" s="7">
        <v>1929.9860418693211</v>
      </c>
      <c r="C194" s="7">
        <v>973.54143438405947</v>
      </c>
      <c r="D194" s="7">
        <v>128</v>
      </c>
      <c r="E194" s="7">
        <v>146</v>
      </c>
      <c r="F194" s="7">
        <v>6770.2810218978102</v>
      </c>
      <c r="G194" s="7">
        <v>1292.506775852645</v>
      </c>
      <c r="H194" s="7">
        <v>1220.013069770549</v>
      </c>
    </row>
    <row r="195" spans="1:8" x14ac:dyDescent="0.3">
      <c r="A195" s="7">
        <v>192</v>
      </c>
      <c r="B195" s="7">
        <v>1637.1241175150319</v>
      </c>
      <c r="C195" s="7">
        <v>1399.3002353207451</v>
      </c>
      <c r="D195" s="7">
        <v>128</v>
      </c>
      <c r="E195" s="7">
        <v>146</v>
      </c>
      <c r="F195" s="7">
        <v>12893.083941605841</v>
      </c>
      <c r="G195" s="7">
        <v>3306.64929772194</v>
      </c>
      <c r="H195" s="7">
        <v>3196.0154527117979</v>
      </c>
    </row>
    <row r="196" spans="1:8" x14ac:dyDescent="0.3">
      <c r="A196" s="7">
        <v>193</v>
      </c>
      <c r="B196" s="7">
        <v>1009.407300164831</v>
      </c>
      <c r="C196" s="7">
        <v>596.95007041244583</v>
      </c>
      <c r="D196" s="7">
        <v>128</v>
      </c>
      <c r="E196" s="7">
        <v>146</v>
      </c>
      <c r="F196" s="7">
        <v>5248.3175182481746</v>
      </c>
      <c r="G196" s="7">
        <v>2252.6587901855</v>
      </c>
      <c r="H196" s="7">
        <v>1894.402246056263</v>
      </c>
    </row>
    <row r="197" spans="1:8" x14ac:dyDescent="0.3">
      <c r="A197" s="7">
        <v>194</v>
      </c>
      <c r="B197" s="7">
        <v>975.07422142146936</v>
      </c>
      <c r="C197" s="7">
        <v>464.89292319764161</v>
      </c>
      <c r="D197" s="7">
        <v>128</v>
      </c>
      <c r="E197" s="7">
        <v>146</v>
      </c>
      <c r="F197" s="7">
        <v>4972.9525547445264</v>
      </c>
      <c r="G197" s="7">
        <v>1564.9406588190491</v>
      </c>
      <c r="H197" s="7">
        <v>1308.728178502121</v>
      </c>
    </row>
    <row r="198" spans="1:8" x14ac:dyDescent="0.3">
      <c r="A198" s="7">
        <v>195</v>
      </c>
      <c r="B198" s="7">
        <v>1740.625305477447</v>
      </c>
      <c r="C198" s="7">
        <v>919.20329174699532</v>
      </c>
      <c r="D198" s="7">
        <v>129</v>
      </c>
      <c r="E198" s="7">
        <v>146</v>
      </c>
      <c r="F198" s="7">
        <v>11081.596363636359</v>
      </c>
      <c r="G198" s="7">
        <v>3641.1122832061528</v>
      </c>
      <c r="H198" s="7">
        <v>2911.8719065233622</v>
      </c>
    </row>
    <row r="199" spans="1:8" x14ac:dyDescent="0.3">
      <c r="A199" s="7">
        <v>196</v>
      </c>
      <c r="B199" s="7">
        <v>723.08752197558897</v>
      </c>
      <c r="C199" s="7">
        <v>479.74926757762432</v>
      </c>
      <c r="D199" s="7">
        <v>131</v>
      </c>
      <c r="E199" s="7">
        <v>146</v>
      </c>
      <c r="F199" s="7">
        <v>5368.1227436823101</v>
      </c>
      <c r="G199" s="7">
        <v>1724.2824483918121</v>
      </c>
      <c r="H199" s="7">
        <v>1543.708144571518</v>
      </c>
    </row>
    <row r="200" spans="1:8" x14ac:dyDescent="0.3">
      <c r="A200" s="7">
        <v>197</v>
      </c>
      <c r="B200" s="7">
        <v>1145.5998803320231</v>
      </c>
      <c r="C200" s="7">
        <v>650.39827715264562</v>
      </c>
      <c r="D200" s="7">
        <v>131</v>
      </c>
      <c r="E200" s="7">
        <v>146</v>
      </c>
      <c r="F200" s="7">
        <v>6936.425992779783</v>
      </c>
      <c r="G200" s="7">
        <v>2431.750257114636</v>
      </c>
      <c r="H200" s="7">
        <v>2128.964292538536</v>
      </c>
    </row>
    <row r="201" spans="1:8" x14ac:dyDescent="0.3">
      <c r="A201" s="7">
        <v>198</v>
      </c>
      <c r="B201" s="7">
        <v>636.12565632218991</v>
      </c>
      <c r="C201" s="7">
        <v>387.10197209211913</v>
      </c>
      <c r="D201" s="7">
        <v>131</v>
      </c>
      <c r="E201" s="7">
        <v>146</v>
      </c>
      <c r="F201" s="7">
        <v>2790.151624548736</v>
      </c>
      <c r="G201" s="7">
        <v>1686.463975440334</v>
      </c>
      <c r="H201" s="7">
        <v>1525.113393493644</v>
      </c>
    </row>
    <row r="202" spans="1:8" x14ac:dyDescent="0.3">
      <c r="A202" s="7">
        <v>199</v>
      </c>
      <c r="B202" s="7">
        <v>1245.215043442214</v>
      </c>
      <c r="C202" s="7">
        <v>798.21861690843298</v>
      </c>
      <c r="D202" s="7">
        <v>129</v>
      </c>
      <c r="E202" s="7">
        <v>146</v>
      </c>
      <c r="F202" s="7">
        <v>8558.3345454545452</v>
      </c>
      <c r="G202" s="7">
        <v>3083.786578042444</v>
      </c>
      <c r="H202" s="7">
        <v>2634.1728225202141</v>
      </c>
    </row>
    <row r="203" spans="1:8" x14ac:dyDescent="0.3">
      <c r="A203" s="7">
        <v>200</v>
      </c>
      <c r="B203" s="7">
        <v>1209.0834727839899</v>
      </c>
      <c r="C203" s="7">
        <v>768.94200670057069</v>
      </c>
      <c r="D203" s="7">
        <v>129</v>
      </c>
      <c r="E203" s="7">
        <v>146</v>
      </c>
      <c r="F203" s="7">
        <v>7960.2254545454543</v>
      </c>
      <c r="G203" s="7">
        <v>2152.7484649833968</v>
      </c>
      <c r="H203" s="7">
        <v>1611.3119388819659</v>
      </c>
    </row>
    <row r="204" spans="1:8" x14ac:dyDescent="0.3">
      <c r="A204" s="7">
        <v>201</v>
      </c>
      <c r="B204" s="7">
        <v>994.91903418955053</v>
      </c>
      <c r="C204" s="7">
        <v>628.37357583177311</v>
      </c>
      <c r="D204" s="7">
        <v>129</v>
      </c>
      <c r="E204" s="7">
        <v>146</v>
      </c>
      <c r="F204" s="7">
        <v>5309.1672727272726</v>
      </c>
      <c r="G204" s="7">
        <v>1787.125128469241</v>
      </c>
      <c r="H204" s="7">
        <v>1552.9161035476241</v>
      </c>
    </row>
    <row r="205" spans="1:8" x14ac:dyDescent="0.3">
      <c r="A205" s="7">
        <v>202</v>
      </c>
      <c r="B205" s="7">
        <v>813.82245961851481</v>
      </c>
      <c r="C205" s="7">
        <v>623.91457354753038</v>
      </c>
      <c r="D205" s="7">
        <v>129</v>
      </c>
      <c r="E205" s="7">
        <v>146</v>
      </c>
      <c r="F205" s="7">
        <v>6563.9563636363637</v>
      </c>
      <c r="G205" s="7">
        <v>1725.6364020986759</v>
      </c>
      <c r="H205" s="7">
        <v>1577.255553863032</v>
      </c>
    </row>
    <row r="206" spans="1:8" x14ac:dyDescent="0.3">
      <c r="A206" s="7">
        <v>203</v>
      </c>
      <c r="B206" s="7">
        <v>1135.9226947123791</v>
      </c>
      <c r="C206" s="7">
        <v>813.46776676391562</v>
      </c>
      <c r="D206" s="7">
        <v>130</v>
      </c>
      <c r="E206" s="7">
        <v>146</v>
      </c>
      <c r="F206" s="7">
        <v>7039.898550724638</v>
      </c>
      <c r="G206" s="7">
        <v>2310.557513475248</v>
      </c>
      <c r="H206" s="7">
        <v>2051.1849682494758</v>
      </c>
    </row>
    <row r="207" spans="1:8" x14ac:dyDescent="0.3">
      <c r="A207" s="7">
        <v>204</v>
      </c>
      <c r="B207" s="7">
        <v>1944.3379884192109</v>
      </c>
      <c r="C207" s="7">
        <v>932.66009745862391</v>
      </c>
      <c r="D207" s="7">
        <v>128</v>
      </c>
      <c r="E207" s="7">
        <v>146</v>
      </c>
      <c r="F207" s="7">
        <v>5673.0328467153286</v>
      </c>
      <c r="G207" s="7">
        <v>1099.753260679413</v>
      </c>
      <c r="H207" s="7">
        <v>1140.015074401656</v>
      </c>
    </row>
    <row r="208" spans="1:8" x14ac:dyDescent="0.3">
      <c r="A208" s="7">
        <v>205</v>
      </c>
      <c r="B208" s="7">
        <v>866.90742159109618</v>
      </c>
      <c r="C208" s="7">
        <v>531.73468409939107</v>
      </c>
      <c r="D208" s="7">
        <v>131</v>
      </c>
      <c r="E208" s="7">
        <v>146</v>
      </c>
      <c r="F208" s="7">
        <v>6522.9422382671482</v>
      </c>
      <c r="G208" s="7">
        <v>2179.1307444774211</v>
      </c>
      <c r="H208" s="7">
        <v>1926.741532096833</v>
      </c>
    </row>
    <row r="209" spans="1:8" x14ac:dyDescent="0.3">
      <c r="A209" s="7">
        <v>206</v>
      </c>
      <c r="B209" s="7">
        <v>817.01943717596498</v>
      </c>
      <c r="C209" s="7">
        <v>863.78191999820478</v>
      </c>
      <c r="D209" s="7">
        <v>129</v>
      </c>
      <c r="E209" s="7">
        <v>146</v>
      </c>
      <c r="F209" s="7">
        <v>8037.0654545454536</v>
      </c>
      <c r="G209" s="7">
        <v>2483.9594439885382</v>
      </c>
      <c r="H209" s="7">
        <v>2328.924390157073</v>
      </c>
    </row>
    <row r="210" spans="1:8" x14ac:dyDescent="0.3">
      <c r="A210" s="7">
        <v>207</v>
      </c>
      <c r="B210" s="7">
        <v>1371.155843923272</v>
      </c>
      <c r="C210" s="7">
        <v>787.84281315125952</v>
      </c>
      <c r="D210" s="7">
        <v>131</v>
      </c>
      <c r="E210" s="7">
        <v>146</v>
      </c>
      <c r="F210" s="7">
        <v>11085.68231046931</v>
      </c>
      <c r="G210" s="7">
        <v>3691.1938055219571</v>
      </c>
      <c r="H210" s="7">
        <v>3332.395949932014</v>
      </c>
    </row>
    <row r="211" spans="1:8" x14ac:dyDescent="0.3">
      <c r="A211" s="7">
        <v>208</v>
      </c>
      <c r="B211" s="7">
        <v>581.42641034950498</v>
      </c>
      <c r="C211" s="7">
        <v>413.68022024296812</v>
      </c>
      <c r="D211" s="7">
        <v>131</v>
      </c>
      <c r="E211" s="7">
        <v>146</v>
      </c>
      <c r="F211" s="7">
        <v>2980.1444043321299</v>
      </c>
      <c r="G211" s="7">
        <v>1011.2151483912201</v>
      </c>
      <c r="H211" s="7">
        <v>929.88208119713056</v>
      </c>
    </row>
    <row r="212" spans="1:8" x14ac:dyDescent="0.3">
      <c r="A212" s="7">
        <v>209</v>
      </c>
      <c r="B212" s="7">
        <v>940.54539119875119</v>
      </c>
      <c r="C212" s="7">
        <v>853.58827659031817</v>
      </c>
      <c r="D212" s="7">
        <v>131</v>
      </c>
      <c r="E212" s="7">
        <v>181</v>
      </c>
      <c r="F212" s="7">
        <v>5334.2788461538457</v>
      </c>
      <c r="G212" s="7">
        <v>1869.630848978049</v>
      </c>
      <c r="H212" s="7">
        <v>1879.9373064661211</v>
      </c>
    </row>
    <row r="213" spans="1:8" x14ac:dyDescent="0.3">
      <c r="A213" s="7">
        <v>210</v>
      </c>
      <c r="B213" s="7">
        <v>501.36903120621821</v>
      </c>
      <c r="C213" s="7">
        <v>403.49505918981669</v>
      </c>
      <c r="D213" s="7">
        <v>129</v>
      </c>
      <c r="E213" s="7">
        <v>146</v>
      </c>
      <c r="F213" s="7">
        <v>3274.7745454545461</v>
      </c>
      <c r="G213" s="7">
        <v>1250.531719467903</v>
      </c>
      <c r="H213" s="7">
        <v>1110.0264744467149</v>
      </c>
    </row>
    <row r="214" spans="1:8" x14ac:dyDescent="0.3">
      <c r="A214" s="7">
        <v>211</v>
      </c>
      <c r="B214" s="7">
        <v>1480.473946441894</v>
      </c>
      <c r="C214" s="7">
        <v>1030.2732848908699</v>
      </c>
      <c r="D214" s="7">
        <v>131</v>
      </c>
      <c r="E214" s="7">
        <v>146</v>
      </c>
      <c r="F214" s="7">
        <v>13449.85198555957</v>
      </c>
      <c r="G214" s="7">
        <v>3498.9921580560031</v>
      </c>
      <c r="H214" s="7">
        <v>3033.325522595193</v>
      </c>
    </row>
    <row r="215" spans="1:8" x14ac:dyDescent="0.3">
      <c r="A215" s="7">
        <v>212</v>
      </c>
      <c r="B215" s="7">
        <v>868.82479715233808</v>
      </c>
      <c r="C215" s="7">
        <v>553.58359892291173</v>
      </c>
      <c r="D215" s="7">
        <v>131</v>
      </c>
      <c r="E215" s="7">
        <v>146</v>
      </c>
      <c r="F215" s="7">
        <v>4553.256317689531</v>
      </c>
      <c r="G215" s="7">
        <v>1571.6797184555701</v>
      </c>
      <c r="H215" s="7">
        <v>1364.8058244146539</v>
      </c>
    </row>
    <row r="216" spans="1:8" x14ac:dyDescent="0.3">
      <c r="A216" s="7">
        <v>213</v>
      </c>
      <c r="B216" s="7">
        <v>1015.605587128788</v>
      </c>
      <c r="C216" s="7">
        <v>664.77512461727406</v>
      </c>
      <c r="D216" s="7">
        <v>129</v>
      </c>
      <c r="E216" s="7">
        <v>146</v>
      </c>
      <c r="F216" s="7">
        <v>8574.6545454545449</v>
      </c>
      <c r="G216" s="7">
        <v>2946.1744621186831</v>
      </c>
      <c r="H216" s="7">
        <v>2627.7039954437851</v>
      </c>
    </row>
    <row r="217" spans="1:8" x14ac:dyDescent="0.3">
      <c r="A217" s="7">
        <v>214</v>
      </c>
      <c r="B217" s="7">
        <v>1539.4104513505711</v>
      </c>
      <c r="C217" s="7">
        <v>1017.557232025579</v>
      </c>
      <c r="D217" s="7">
        <v>129</v>
      </c>
      <c r="E217" s="7">
        <v>146</v>
      </c>
      <c r="F217" s="7">
        <v>9562.2945454545461</v>
      </c>
      <c r="G217" s="7">
        <v>3253.5016425360068</v>
      </c>
      <c r="H217" s="7">
        <v>2782.4580231667342</v>
      </c>
    </row>
    <row r="218" spans="1:8" x14ac:dyDescent="0.3">
      <c r="A218" s="7">
        <v>215</v>
      </c>
      <c r="B218" s="7">
        <v>2039.3223340615771</v>
      </c>
      <c r="C218" s="7">
        <v>804.6619364752612</v>
      </c>
      <c r="D218" s="7">
        <v>128</v>
      </c>
      <c r="E218" s="7">
        <v>146</v>
      </c>
      <c r="F218" s="7">
        <v>6485.9963503649633</v>
      </c>
      <c r="G218" s="7">
        <v>2579.2701396179891</v>
      </c>
      <c r="H218" s="7">
        <v>2319.081688236171</v>
      </c>
    </row>
    <row r="219" spans="1:8" x14ac:dyDescent="0.3">
      <c r="A219" s="7">
        <v>216</v>
      </c>
      <c r="B219" s="7">
        <v>1117.4533110030461</v>
      </c>
      <c r="C219" s="7">
        <v>662.02900283182601</v>
      </c>
      <c r="D219" s="7">
        <v>127</v>
      </c>
      <c r="E219" s="7">
        <v>146</v>
      </c>
      <c r="F219" s="7">
        <v>7157.9706959706964</v>
      </c>
      <c r="G219" s="7">
        <v>2531.6698871145968</v>
      </c>
      <c r="H219" s="7">
        <v>2188.0237251725148</v>
      </c>
    </row>
    <row r="220" spans="1:8" x14ac:dyDescent="0.3">
      <c r="A220" s="7">
        <v>217</v>
      </c>
      <c r="B220" s="7">
        <v>744.47753467152586</v>
      </c>
      <c r="C220" s="7">
        <v>606.30984157166938</v>
      </c>
      <c r="D220" s="7">
        <v>131</v>
      </c>
      <c r="E220" s="7">
        <v>146</v>
      </c>
      <c r="F220" s="7">
        <v>4933.8375451263537</v>
      </c>
      <c r="G220" s="7">
        <v>1441.281853656456</v>
      </c>
      <c r="H220" s="7">
        <v>1294.313508738941</v>
      </c>
    </row>
    <row r="221" spans="1:8" x14ac:dyDescent="0.3">
      <c r="A221" s="7">
        <v>218</v>
      </c>
      <c r="B221" s="7">
        <v>2233.3632397846418</v>
      </c>
      <c r="C221" s="7">
        <v>1261.999137292921</v>
      </c>
      <c r="D221" s="7">
        <v>128</v>
      </c>
      <c r="E221" s="7">
        <v>146</v>
      </c>
      <c r="F221" s="7">
        <v>5005.8065693430653</v>
      </c>
      <c r="G221" s="7">
        <v>1349.716512480491</v>
      </c>
      <c r="H221" s="7">
        <v>1256.305681652927</v>
      </c>
    </row>
    <row r="222" spans="1:8" x14ac:dyDescent="0.3">
      <c r="A222" s="7">
        <v>219</v>
      </c>
      <c r="B222" s="7">
        <v>550.14937183244251</v>
      </c>
      <c r="C222" s="7">
        <v>362.83219971352429</v>
      </c>
      <c r="D222" s="7">
        <v>129</v>
      </c>
      <c r="E222" s="7">
        <v>146</v>
      </c>
      <c r="F222" s="7">
        <v>3183.1381818181821</v>
      </c>
      <c r="G222" s="7">
        <v>829.37629503120593</v>
      </c>
      <c r="H222" s="7">
        <v>652.65372408471239</v>
      </c>
    </row>
    <row r="223" spans="1:8" x14ac:dyDescent="0.3">
      <c r="A223" s="7">
        <v>220</v>
      </c>
      <c r="B223" s="7">
        <v>688.04597931993715</v>
      </c>
      <c r="C223" s="7">
        <v>558.77512132469292</v>
      </c>
      <c r="D223" s="7">
        <v>127</v>
      </c>
      <c r="E223" s="7">
        <v>146</v>
      </c>
      <c r="F223" s="7">
        <v>4920.1868131868132</v>
      </c>
      <c r="G223" s="7">
        <v>1433.4008016837849</v>
      </c>
      <c r="H223" s="7">
        <v>1280.239909558906</v>
      </c>
    </row>
    <row r="224" spans="1:8" x14ac:dyDescent="0.3">
      <c r="A224" s="7">
        <v>221</v>
      </c>
      <c r="B224" s="7">
        <v>978.32318361216028</v>
      </c>
      <c r="C224" s="7">
        <v>615.98407312197162</v>
      </c>
      <c r="D224" s="7">
        <v>131</v>
      </c>
      <c r="E224" s="7">
        <v>146</v>
      </c>
      <c r="F224" s="7">
        <v>6107.7220216606502</v>
      </c>
      <c r="G224" s="7">
        <v>1938.139963749773</v>
      </c>
      <c r="H224" s="7">
        <v>1778.174737549793</v>
      </c>
    </row>
    <row r="225" spans="1:8" x14ac:dyDescent="0.3">
      <c r="A225" s="7">
        <v>222</v>
      </c>
      <c r="B225" s="7">
        <v>632.92132921149948</v>
      </c>
      <c r="C225" s="7">
        <v>413.02410119811492</v>
      </c>
      <c r="D225" s="7">
        <v>131</v>
      </c>
      <c r="E225" s="7">
        <v>146</v>
      </c>
      <c r="F225" s="7">
        <v>5130.1516245487364</v>
      </c>
      <c r="G225" s="7">
        <v>1577.9258247449229</v>
      </c>
      <c r="H225" s="7">
        <v>1340.5891390452291</v>
      </c>
    </row>
    <row r="226" spans="1:8" x14ac:dyDescent="0.3">
      <c r="A226" s="7">
        <v>223</v>
      </c>
      <c r="B226" s="7">
        <v>960.79358708104644</v>
      </c>
      <c r="C226" s="7">
        <v>649.45708163969823</v>
      </c>
      <c r="D226" s="7">
        <v>131</v>
      </c>
      <c r="E226" s="7">
        <v>146</v>
      </c>
      <c r="F226" s="7">
        <v>7378.2527075812277</v>
      </c>
      <c r="G226" s="7">
        <v>2514.1302549651832</v>
      </c>
      <c r="H226" s="7">
        <v>2252.563760063339</v>
      </c>
    </row>
    <row r="227" spans="1:8" x14ac:dyDescent="0.3">
      <c r="A227" s="7">
        <v>224</v>
      </c>
      <c r="B227" s="7">
        <v>1085.4939199076121</v>
      </c>
      <c r="C227" s="7">
        <v>711.46091876605749</v>
      </c>
      <c r="D227" s="7">
        <v>128</v>
      </c>
      <c r="E227" s="7">
        <v>146</v>
      </c>
      <c r="F227" s="7">
        <v>7405.3175182481746</v>
      </c>
      <c r="G227" s="7">
        <v>2398.4982606310141</v>
      </c>
      <c r="H227" s="7">
        <v>2171.7109961237779</v>
      </c>
    </row>
    <row r="228" spans="1:8" x14ac:dyDescent="0.3">
      <c r="A228" s="7">
        <v>225</v>
      </c>
      <c r="B228" s="7">
        <v>912.11410128871137</v>
      </c>
      <c r="C228" s="7">
        <v>617.57497621388302</v>
      </c>
      <c r="D228" s="7">
        <v>132</v>
      </c>
      <c r="E228" s="7">
        <v>146</v>
      </c>
      <c r="F228" s="7">
        <v>5233.2194244604316</v>
      </c>
      <c r="G228" s="7">
        <v>1805.77787947466</v>
      </c>
      <c r="H228" s="7">
        <v>1620.947023632993</v>
      </c>
    </row>
    <row r="229" spans="1:8" x14ac:dyDescent="0.3">
      <c r="A229" s="7">
        <v>226</v>
      </c>
      <c r="B229" s="7">
        <v>790.12954556200339</v>
      </c>
      <c r="C229" s="7">
        <v>624.33635131947108</v>
      </c>
      <c r="D229" s="7">
        <v>129</v>
      </c>
      <c r="E229" s="7">
        <v>146</v>
      </c>
      <c r="F229" s="7">
        <v>7039.1636363636362</v>
      </c>
      <c r="G229" s="7">
        <v>1806.8135963881341</v>
      </c>
      <c r="H229" s="7">
        <v>1579.593844103214</v>
      </c>
    </row>
    <row r="230" spans="1:8" x14ac:dyDescent="0.3">
      <c r="A230" s="7">
        <v>227</v>
      </c>
      <c r="B230" s="7">
        <v>873.62266221586151</v>
      </c>
      <c r="C230" s="7">
        <v>541.20367139734333</v>
      </c>
      <c r="D230" s="7">
        <v>129</v>
      </c>
      <c r="E230" s="7">
        <v>146</v>
      </c>
      <c r="F230" s="7">
        <v>6447.6072727272731</v>
      </c>
      <c r="G230" s="7">
        <v>1828.9047851592211</v>
      </c>
      <c r="H230" s="7">
        <v>1548.0059267700069</v>
      </c>
    </row>
    <row r="231" spans="1:8" x14ac:dyDescent="0.3">
      <c r="A231" s="7">
        <v>228</v>
      </c>
      <c r="B231" s="7">
        <v>996.55077300980156</v>
      </c>
      <c r="C231" s="7">
        <v>772.1481291144479</v>
      </c>
      <c r="D231" s="7">
        <v>129</v>
      </c>
      <c r="E231" s="7">
        <v>146</v>
      </c>
      <c r="F231" s="7">
        <v>8457.6218181818185</v>
      </c>
      <c r="G231" s="7">
        <v>2191.7382486026008</v>
      </c>
      <c r="H231" s="7">
        <v>1996.378450546945</v>
      </c>
    </row>
    <row r="232" spans="1:8" x14ac:dyDescent="0.3">
      <c r="A232" s="7">
        <v>229</v>
      </c>
      <c r="B232" s="7">
        <v>1391.289115307799</v>
      </c>
      <c r="C232" s="7">
        <v>782.83918472041773</v>
      </c>
      <c r="D232" s="7">
        <v>129</v>
      </c>
      <c r="E232" s="7">
        <v>146</v>
      </c>
      <c r="F232" s="7">
        <v>8997.1527272727271</v>
      </c>
      <c r="G232" s="7">
        <v>3234.5407531396058</v>
      </c>
      <c r="H232" s="7">
        <v>2766.705827692258</v>
      </c>
    </row>
    <row r="233" spans="1:8" x14ac:dyDescent="0.3">
      <c r="A233" s="7">
        <v>230</v>
      </c>
      <c r="B233" s="7">
        <v>1333.0722862743301</v>
      </c>
      <c r="C233" s="7">
        <v>803.10663182327573</v>
      </c>
      <c r="D233" s="7">
        <v>131</v>
      </c>
      <c r="E233" s="7">
        <v>146</v>
      </c>
      <c r="F233" s="7">
        <v>7979.4007220216608</v>
      </c>
      <c r="G233" s="7">
        <v>2454.8982379680479</v>
      </c>
      <c r="H233" s="7">
        <v>2013.4386401214831</v>
      </c>
    </row>
    <row r="234" spans="1:8" x14ac:dyDescent="0.3">
      <c r="A234" s="7">
        <v>231</v>
      </c>
      <c r="B234" s="7">
        <v>2401.1237192751441</v>
      </c>
      <c r="C234" s="7">
        <v>1070.6221776247851</v>
      </c>
      <c r="D234" s="7">
        <v>128</v>
      </c>
      <c r="E234" s="7">
        <v>146</v>
      </c>
      <c r="F234" s="7">
        <v>5119.8321167883214</v>
      </c>
      <c r="G234" s="7">
        <v>1885.5044977240179</v>
      </c>
      <c r="H234" s="7">
        <v>1709.483385472196</v>
      </c>
    </row>
    <row r="235" spans="1:8" x14ac:dyDescent="0.3">
      <c r="A235" s="7">
        <v>232</v>
      </c>
      <c r="B235" s="7">
        <v>667.10523459193348</v>
      </c>
      <c r="C235" s="7">
        <v>487.44430348414971</v>
      </c>
      <c r="D235" s="7">
        <v>130</v>
      </c>
      <c r="E235" s="7">
        <v>146</v>
      </c>
      <c r="F235" s="7">
        <v>3657.315217391304</v>
      </c>
      <c r="G235" s="7">
        <v>1418.1158572611</v>
      </c>
      <c r="H235" s="7">
        <v>1240.8487787723459</v>
      </c>
    </row>
    <row r="236" spans="1:8" x14ac:dyDescent="0.3">
      <c r="A236" s="7">
        <v>233</v>
      </c>
      <c r="B236" s="7">
        <v>1039.0116097076821</v>
      </c>
      <c r="C236" s="7">
        <v>651.38490220012432</v>
      </c>
      <c r="D236" s="7">
        <v>129</v>
      </c>
      <c r="E236" s="7">
        <v>146</v>
      </c>
      <c r="F236" s="7">
        <v>9774.0654545454545</v>
      </c>
      <c r="G236" s="7">
        <v>2454.8911373264659</v>
      </c>
      <c r="H236" s="7">
        <v>2154.9375829247051</v>
      </c>
    </row>
    <row r="237" spans="1:8" x14ac:dyDescent="0.3">
      <c r="A237" s="7">
        <v>234</v>
      </c>
      <c r="B237" s="7">
        <v>1433.985177271423</v>
      </c>
      <c r="C237" s="7">
        <v>939.31180665473005</v>
      </c>
      <c r="D237" s="7">
        <v>129</v>
      </c>
      <c r="E237" s="7">
        <v>146</v>
      </c>
      <c r="F237" s="7">
        <v>11302.56727272727</v>
      </c>
      <c r="G237" s="7">
        <v>4597.5822184941899</v>
      </c>
      <c r="H237" s="7">
        <v>4065.226276369151</v>
      </c>
    </row>
    <row r="238" spans="1:8" x14ac:dyDescent="0.3">
      <c r="A238" s="7">
        <v>235</v>
      </c>
      <c r="B238" s="7">
        <v>793.47977094651901</v>
      </c>
      <c r="C238" s="7">
        <v>561.23443488330145</v>
      </c>
      <c r="D238" s="7">
        <v>129</v>
      </c>
      <c r="E238" s="7">
        <v>146</v>
      </c>
      <c r="F238" s="7">
        <v>5528.9345454545464</v>
      </c>
      <c r="G238" s="7">
        <v>2265.3261808018628</v>
      </c>
      <c r="H238" s="7">
        <v>2080.0296576521041</v>
      </c>
    </row>
    <row r="239" spans="1:8" x14ac:dyDescent="0.3">
      <c r="A239" s="7">
        <v>236</v>
      </c>
      <c r="B239" s="7">
        <v>887.76624056367075</v>
      </c>
      <c r="C239" s="7">
        <v>666.49316469961536</v>
      </c>
      <c r="D239" s="7">
        <v>131</v>
      </c>
      <c r="E239" s="7">
        <v>146</v>
      </c>
      <c r="F239" s="7">
        <v>7583.1913357400726</v>
      </c>
      <c r="G239" s="7">
        <v>2027.1151426415611</v>
      </c>
      <c r="H239" s="7">
        <v>1748.326538416524</v>
      </c>
    </row>
    <row r="240" spans="1:8" x14ac:dyDescent="0.3">
      <c r="A240" s="7">
        <v>237</v>
      </c>
      <c r="B240" s="7">
        <v>534.64114227282346</v>
      </c>
      <c r="C240" s="7">
        <v>576.13262539287325</v>
      </c>
      <c r="D240" s="7">
        <v>131</v>
      </c>
      <c r="E240" s="7">
        <v>146</v>
      </c>
      <c r="F240" s="7">
        <v>4824.6967509025271</v>
      </c>
      <c r="G240" s="7">
        <v>823.27376189387985</v>
      </c>
      <c r="H240" s="7">
        <v>705.86083167904292</v>
      </c>
    </row>
    <row r="241" spans="1:8" x14ac:dyDescent="0.3">
      <c r="A241" s="7">
        <v>238</v>
      </c>
      <c r="B241" s="7">
        <v>1036.720619932968</v>
      </c>
      <c r="C241" s="7">
        <v>677.52775791905162</v>
      </c>
      <c r="D241" s="7">
        <v>127</v>
      </c>
      <c r="E241" s="7">
        <v>146</v>
      </c>
      <c r="F241" s="7">
        <v>7533.798534798535</v>
      </c>
      <c r="G241" s="7">
        <v>2388.8748018466008</v>
      </c>
      <c r="H241" s="7">
        <v>1967.8858222948411</v>
      </c>
    </row>
    <row r="242" spans="1:8" x14ac:dyDescent="0.3">
      <c r="A242" s="7">
        <v>239</v>
      </c>
      <c r="B242" s="7">
        <v>1083.8269097221039</v>
      </c>
      <c r="C242" s="7">
        <v>615.52474123063064</v>
      </c>
      <c r="D242" s="7">
        <v>129</v>
      </c>
      <c r="E242" s="7">
        <v>146</v>
      </c>
      <c r="F242" s="7">
        <v>5490.6218181818194</v>
      </c>
      <c r="G242" s="7">
        <v>2071.672570728801</v>
      </c>
      <c r="H242" s="7">
        <v>1753.941309291265</v>
      </c>
    </row>
    <row r="243" spans="1:8" x14ac:dyDescent="0.3">
      <c r="A243" s="7">
        <v>240</v>
      </c>
      <c r="B243" s="7">
        <v>601.7981571587145</v>
      </c>
      <c r="C243" s="7">
        <v>432.66117500997001</v>
      </c>
      <c r="D243" s="7">
        <v>131</v>
      </c>
      <c r="E243" s="7">
        <v>146</v>
      </c>
      <c r="F243" s="7">
        <v>5092.3971119133575</v>
      </c>
      <c r="G243" s="7">
        <v>1166.0295421342339</v>
      </c>
      <c r="H243" s="7">
        <v>1002.589896218788</v>
      </c>
    </row>
    <row r="244" spans="1:8" x14ac:dyDescent="0.3">
      <c r="A244" s="7">
        <v>241</v>
      </c>
      <c r="B244" s="7">
        <v>1139.4177933128201</v>
      </c>
      <c r="C244" s="7">
        <v>619.56117144029702</v>
      </c>
      <c r="D244" s="7">
        <v>129</v>
      </c>
      <c r="E244" s="7">
        <v>146</v>
      </c>
      <c r="F244" s="7">
        <v>6899.4690909090896</v>
      </c>
      <c r="G244" s="7">
        <v>1987.4108043950951</v>
      </c>
      <c r="H244" s="7">
        <v>1725.211986180328</v>
      </c>
    </row>
    <row r="245" spans="1:8" x14ac:dyDescent="0.3">
      <c r="A245" s="7">
        <v>242</v>
      </c>
      <c r="B245" s="7">
        <v>734.14738302991941</v>
      </c>
      <c r="C245" s="7">
        <v>489.72124676206869</v>
      </c>
      <c r="D245" s="7">
        <v>129</v>
      </c>
      <c r="E245" s="7">
        <v>146</v>
      </c>
      <c r="F245" s="7">
        <v>4036.1527272727271</v>
      </c>
      <c r="G245" s="7">
        <v>1901.3966103281671</v>
      </c>
      <c r="H245" s="7">
        <v>1643.666747462006</v>
      </c>
    </row>
    <row r="246" spans="1:8" x14ac:dyDescent="0.3">
      <c r="A246" s="7">
        <v>243</v>
      </c>
      <c r="B246" s="7">
        <v>1635.516311670428</v>
      </c>
      <c r="C246" s="7">
        <v>739.90647250117615</v>
      </c>
      <c r="D246" s="7">
        <v>128</v>
      </c>
      <c r="E246" s="7">
        <v>146</v>
      </c>
      <c r="F246" s="7">
        <v>6977.5036496350367</v>
      </c>
      <c r="G246" s="7">
        <v>2648.8303963730859</v>
      </c>
      <c r="H246" s="7">
        <v>2550.946145987019</v>
      </c>
    </row>
    <row r="247" spans="1:8" x14ac:dyDescent="0.3">
      <c r="A247" s="7">
        <v>244</v>
      </c>
      <c r="B247" s="7">
        <v>908.30116912430162</v>
      </c>
      <c r="C247" s="7">
        <v>592.69532567614806</v>
      </c>
      <c r="D247" s="7">
        <v>129</v>
      </c>
      <c r="E247" s="7">
        <v>146</v>
      </c>
      <c r="F247" s="7">
        <v>5599.3745454545451</v>
      </c>
      <c r="G247" s="7">
        <v>2498.017488348115</v>
      </c>
      <c r="H247" s="7">
        <v>2251.5443634421122</v>
      </c>
    </row>
    <row r="248" spans="1:8" x14ac:dyDescent="0.3">
      <c r="A248" s="7">
        <v>245</v>
      </c>
      <c r="B248" s="7">
        <v>907.26505281830509</v>
      </c>
      <c r="C248" s="7">
        <v>745.97286252219578</v>
      </c>
      <c r="D248" s="7">
        <v>129</v>
      </c>
      <c r="E248" s="7">
        <v>146</v>
      </c>
      <c r="F248" s="7">
        <v>9131.6036363636358</v>
      </c>
      <c r="G248" s="7">
        <v>1940.707035708793</v>
      </c>
      <c r="H248" s="7">
        <v>1571.6624018788041</v>
      </c>
    </row>
    <row r="249" spans="1:8" x14ac:dyDescent="0.3">
      <c r="A249" s="7">
        <v>246</v>
      </c>
      <c r="B249" s="7">
        <v>1099.423011713106</v>
      </c>
      <c r="C249" s="7">
        <v>701.4995860466928</v>
      </c>
      <c r="D249" s="7">
        <v>131</v>
      </c>
      <c r="E249" s="7">
        <v>146</v>
      </c>
      <c r="F249" s="7">
        <v>7162.9927797833934</v>
      </c>
      <c r="G249" s="7">
        <v>2196.664124259592</v>
      </c>
      <c r="H249" s="7">
        <v>1861.814978374229</v>
      </c>
    </row>
    <row r="250" spans="1:8" x14ac:dyDescent="0.3">
      <c r="A250" s="7">
        <v>247</v>
      </c>
      <c r="B250" s="7">
        <v>1380.7006916131679</v>
      </c>
      <c r="C250" s="7">
        <v>747.14000784835264</v>
      </c>
      <c r="D250" s="7">
        <v>129</v>
      </c>
      <c r="E250" s="7">
        <v>146</v>
      </c>
      <c r="F250" s="7">
        <v>8602.84</v>
      </c>
      <c r="G250" s="7">
        <v>3353.624037671264</v>
      </c>
      <c r="H250" s="7">
        <v>2746.8116062081872</v>
      </c>
    </row>
    <row r="251" spans="1:8" x14ac:dyDescent="0.3">
      <c r="A251" s="7">
        <v>248</v>
      </c>
      <c r="B251" s="7">
        <v>1431.642769637984</v>
      </c>
      <c r="C251" s="7">
        <v>966.9956234118697</v>
      </c>
      <c r="D251" s="7">
        <v>131</v>
      </c>
      <c r="E251" s="7">
        <v>146</v>
      </c>
      <c r="F251" s="7">
        <v>7837.9602888086647</v>
      </c>
      <c r="G251" s="7">
        <v>2738.3937998493629</v>
      </c>
      <c r="H251" s="7">
        <v>2265.845050863044</v>
      </c>
    </row>
    <row r="252" spans="1:8" x14ac:dyDescent="0.3">
      <c r="A252" s="7">
        <v>249</v>
      </c>
      <c r="B252" s="7">
        <v>998.20477393332487</v>
      </c>
      <c r="C252" s="7">
        <v>564.02026789887987</v>
      </c>
      <c r="D252" s="7">
        <v>131</v>
      </c>
      <c r="E252" s="7">
        <v>146</v>
      </c>
      <c r="F252" s="7">
        <v>5373.8519855595669</v>
      </c>
      <c r="G252" s="7">
        <v>1752.712832956146</v>
      </c>
      <c r="H252" s="7">
        <v>1484.090900642499</v>
      </c>
    </row>
    <row r="253" spans="1:8" x14ac:dyDescent="0.3">
      <c r="A253" s="7">
        <v>250</v>
      </c>
      <c r="B253" s="7">
        <v>1416.972129271079</v>
      </c>
      <c r="C253" s="7">
        <v>698.92252923657907</v>
      </c>
      <c r="D253" s="7">
        <v>129</v>
      </c>
      <c r="E253" s="7">
        <v>146</v>
      </c>
      <c r="F253" s="7">
        <v>9226.8036363636365</v>
      </c>
      <c r="G253" s="7">
        <v>3610.1135372641661</v>
      </c>
      <c r="H253" s="7">
        <v>3026.293720862453</v>
      </c>
    </row>
    <row r="254" spans="1:8" x14ac:dyDescent="0.3">
      <c r="A254" s="7">
        <v>251</v>
      </c>
      <c r="B254" s="7">
        <v>1493.628067865802</v>
      </c>
      <c r="C254" s="7">
        <v>1356.390853127293</v>
      </c>
      <c r="D254" s="7">
        <v>129</v>
      </c>
      <c r="E254" s="7">
        <v>146</v>
      </c>
      <c r="F254" s="7">
        <v>19506.923636363641</v>
      </c>
      <c r="G254" s="7">
        <v>4605.891267099244</v>
      </c>
      <c r="H254" s="7">
        <v>4114.7860120129617</v>
      </c>
    </row>
    <row r="255" spans="1:8" x14ac:dyDescent="0.3">
      <c r="A255" s="7">
        <v>252</v>
      </c>
      <c r="B255" s="7">
        <v>1314.944604990493</v>
      </c>
      <c r="C255" s="7">
        <v>843.46366181173198</v>
      </c>
      <c r="D255" s="7">
        <v>129</v>
      </c>
      <c r="E255" s="7">
        <v>146</v>
      </c>
      <c r="F255" s="7">
        <v>10347.35272727273</v>
      </c>
      <c r="G255" s="7">
        <v>3743.0519757309348</v>
      </c>
      <c r="H255" s="7">
        <v>3327.474012125394</v>
      </c>
    </row>
    <row r="256" spans="1:8" x14ac:dyDescent="0.3">
      <c r="A256" s="7">
        <v>253</v>
      </c>
      <c r="B256" s="7">
        <v>1140.1682001953779</v>
      </c>
      <c r="C256" s="7">
        <v>630.76272458621395</v>
      </c>
      <c r="D256" s="7">
        <v>129</v>
      </c>
      <c r="E256" s="7">
        <v>146</v>
      </c>
      <c r="F256" s="7">
        <v>5814.2145454545453</v>
      </c>
      <c r="G256" s="7">
        <v>2617.8224959219519</v>
      </c>
      <c r="H256" s="7">
        <v>2257.8684153027871</v>
      </c>
    </row>
    <row r="257" spans="1:8" x14ac:dyDescent="0.3">
      <c r="A257" s="7">
        <v>254</v>
      </c>
      <c r="B257" s="7">
        <v>616.65089973086106</v>
      </c>
      <c r="C257" s="7">
        <v>462.42598167505599</v>
      </c>
      <c r="D257" s="7">
        <v>129</v>
      </c>
      <c r="E257" s="7">
        <v>146</v>
      </c>
      <c r="F257" s="7">
        <v>3227.8109090909088</v>
      </c>
      <c r="G257" s="7">
        <v>1235.84056383694</v>
      </c>
      <c r="H257" s="7">
        <v>1081.445408346106</v>
      </c>
    </row>
    <row r="258" spans="1:8" x14ac:dyDescent="0.3">
      <c r="A258" s="7">
        <v>255</v>
      </c>
      <c r="B258" s="7">
        <v>1085.566310289202</v>
      </c>
      <c r="C258" s="7">
        <v>601.16047429911407</v>
      </c>
      <c r="D258" s="7">
        <v>129</v>
      </c>
      <c r="E258" s="7">
        <v>146</v>
      </c>
      <c r="F258" s="7">
        <v>6508.2072727272734</v>
      </c>
      <c r="G258" s="7">
        <v>2155.221557344003</v>
      </c>
      <c r="H258" s="7">
        <v>1847.2383014829879</v>
      </c>
    </row>
    <row r="259" spans="1:8" x14ac:dyDescent="0.3">
      <c r="A259" s="7">
        <v>256</v>
      </c>
      <c r="B259" s="7">
        <v>1714.1658823960679</v>
      </c>
      <c r="C259" s="7">
        <v>1080.464748016781</v>
      </c>
      <c r="D259" s="7">
        <v>127</v>
      </c>
      <c r="E259" s="7">
        <v>146</v>
      </c>
      <c r="F259" s="7">
        <v>8745.2783882783879</v>
      </c>
      <c r="G259" s="7">
        <v>3543.6051896560771</v>
      </c>
      <c r="H259" s="7">
        <v>3132.7568409721071</v>
      </c>
    </row>
    <row r="260" spans="1:8" x14ac:dyDescent="0.3">
      <c r="A260" s="7">
        <v>257</v>
      </c>
      <c r="B260" s="7">
        <v>737.43849585554801</v>
      </c>
      <c r="C260" s="7">
        <v>546.2412388914737</v>
      </c>
      <c r="D260" s="7">
        <v>131</v>
      </c>
      <c r="E260" s="7">
        <v>146</v>
      </c>
      <c r="F260" s="7">
        <v>5113.0541516245476</v>
      </c>
      <c r="G260" s="7">
        <v>1388.5541329572541</v>
      </c>
      <c r="H260" s="7">
        <v>1195.6691855901711</v>
      </c>
    </row>
    <row r="261" spans="1:8" x14ac:dyDescent="0.3">
      <c r="A261" s="7">
        <v>258</v>
      </c>
      <c r="B261" s="7">
        <v>1907.4134814566021</v>
      </c>
      <c r="C261" s="7">
        <v>896.70833086098253</v>
      </c>
      <c r="D261" s="7">
        <v>128</v>
      </c>
      <c r="E261" s="7">
        <v>146</v>
      </c>
      <c r="F261" s="7">
        <v>5812.2080291970806</v>
      </c>
      <c r="G261" s="7">
        <v>1544.3705508839189</v>
      </c>
      <c r="H261" s="7">
        <v>1474.890023761697</v>
      </c>
    </row>
    <row r="262" spans="1:8" x14ac:dyDescent="0.3">
      <c r="A262" s="7">
        <v>259</v>
      </c>
      <c r="B262" s="7">
        <v>1530.2163387571491</v>
      </c>
      <c r="C262" s="7">
        <v>1531.2211828878151</v>
      </c>
      <c r="D262" s="7">
        <v>135</v>
      </c>
      <c r="E262" s="7">
        <v>201</v>
      </c>
      <c r="F262" s="7">
        <v>13133.29761904762</v>
      </c>
      <c r="G262" s="7">
        <v>3006.3443310833568</v>
      </c>
      <c r="H262" s="7">
        <v>2566.8745654639752</v>
      </c>
    </row>
    <row r="263" spans="1:8" x14ac:dyDescent="0.3">
      <c r="A263" s="7">
        <v>260</v>
      </c>
      <c r="B263" s="7">
        <v>708.14145253483821</v>
      </c>
      <c r="C263" s="7">
        <v>611.74809617637595</v>
      </c>
      <c r="D263" s="7">
        <v>131</v>
      </c>
      <c r="E263" s="7">
        <v>146</v>
      </c>
      <c r="F263" s="7">
        <v>6406.743682310469</v>
      </c>
      <c r="G263" s="7">
        <v>1024.6564197944369</v>
      </c>
      <c r="H263" s="7">
        <v>919.71447326263558</v>
      </c>
    </row>
    <row r="264" spans="1:8" x14ac:dyDescent="0.3">
      <c r="A264" s="7">
        <v>261</v>
      </c>
      <c r="B264" s="7">
        <v>1561.466139313786</v>
      </c>
      <c r="C264" s="7">
        <v>987.85049468300815</v>
      </c>
      <c r="D264" s="7">
        <v>129</v>
      </c>
      <c r="E264" s="7">
        <v>146</v>
      </c>
      <c r="F264" s="7">
        <v>12299.145454545451</v>
      </c>
      <c r="G264" s="7">
        <v>5675.8655741220546</v>
      </c>
      <c r="H264" s="7">
        <v>5071.9836612782947</v>
      </c>
    </row>
    <row r="265" spans="1:8" x14ac:dyDescent="0.3">
      <c r="A265" s="7">
        <v>262</v>
      </c>
      <c r="B265" s="7">
        <v>2232.4188629836349</v>
      </c>
      <c r="C265" s="7">
        <v>1866.1563381813371</v>
      </c>
      <c r="D265" s="7">
        <v>135</v>
      </c>
      <c r="E265" s="7">
        <v>201</v>
      </c>
      <c r="F265" s="7">
        <v>20738.925595238099</v>
      </c>
      <c r="G265" s="7">
        <v>5999.3963572889443</v>
      </c>
      <c r="H265" s="7">
        <v>5059.9748839169797</v>
      </c>
    </row>
    <row r="266" spans="1:8" x14ac:dyDescent="0.3">
      <c r="A266" s="7">
        <v>263</v>
      </c>
      <c r="B266" s="7">
        <v>2610.1175898329489</v>
      </c>
      <c r="C266" s="7">
        <v>1181.094026767503</v>
      </c>
      <c r="D266" s="7">
        <v>128</v>
      </c>
      <c r="E266" s="7">
        <v>146</v>
      </c>
      <c r="F266" s="7">
        <v>4456.324817518248</v>
      </c>
      <c r="G266" s="7">
        <v>1049.6702570033599</v>
      </c>
      <c r="H266" s="7">
        <v>991.27705442531908</v>
      </c>
    </row>
    <row r="267" spans="1:8" x14ac:dyDescent="0.3">
      <c r="A267" s="7">
        <v>264</v>
      </c>
      <c r="B267" s="7">
        <v>803.7855843764878</v>
      </c>
      <c r="C267" s="7">
        <v>490.66981483308882</v>
      </c>
      <c r="D267" s="7">
        <v>131</v>
      </c>
      <c r="E267" s="7">
        <v>146</v>
      </c>
      <c r="F267" s="7">
        <v>6803.451263537906</v>
      </c>
      <c r="G267" s="7">
        <v>2376.8600767456801</v>
      </c>
      <c r="H267" s="7">
        <v>2078.373189886348</v>
      </c>
    </row>
    <row r="268" spans="1:8" x14ac:dyDescent="0.3">
      <c r="A268" s="7">
        <v>265</v>
      </c>
      <c r="B268" s="7">
        <v>793.56078092231996</v>
      </c>
      <c r="C268" s="7">
        <v>425.46497845257551</v>
      </c>
      <c r="D268" s="7">
        <v>129</v>
      </c>
      <c r="E268" s="7">
        <v>146</v>
      </c>
      <c r="F268" s="7">
        <v>5139.8981818181819</v>
      </c>
      <c r="G268" s="7">
        <v>1926.4601992319499</v>
      </c>
      <c r="H268" s="7">
        <v>1616.9443679487231</v>
      </c>
    </row>
    <row r="269" spans="1:8" x14ac:dyDescent="0.3">
      <c r="A269" s="7">
        <v>266</v>
      </c>
      <c r="B269" s="7">
        <v>658.15519851232182</v>
      </c>
      <c r="C269" s="7">
        <v>545.84200787890347</v>
      </c>
      <c r="D269" s="7">
        <v>131</v>
      </c>
      <c r="E269" s="7">
        <v>146</v>
      </c>
      <c r="F269" s="7">
        <v>4144.415162454874</v>
      </c>
      <c r="G269" s="7">
        <v>1129.3042274639461</v>
      </c>
      <c r="H269" s="7">
        <v>888.92210392661241</v>
      </c>
    </row>
    <row r="270" spans="1:8" x14ac:dyDescent="0.3">
      <c r="A270" s="7">
        <v>267</v>
      </c>
      <c r="B270" s="7">
        <v>1779.83163679219</v>
      </c>
      <c r="C270" s="7">
        <v>1316.9605861750761</v>
      </c>
      <c r="D270" s="7">
        <v>131</v>
      </c>
      <c r="E270" s="7">
        <v>146</v>
      </c>
      <c r="F270" s="7">
        <v>8985.4837545126356</v>
      </c>
      <c r="G270" s="7">
        <v>3453.0103118497141</v>
      </c>
      <c r="H270" s="7">
        <v>2649.2129653194061</v>
      </c>
    </row>
    <row r="271" spans="1:8" x14ac:dyDescent="0.3">
      <c r="A271" s="7">
        <v>268</v>
      </c>
      <c r="B271" s="7">
        <v>816.80636806613347</v>
      </c>
      <c r="C271" s="7">
        <v>717.855101690894</v>
      </c>
      <c r="D271" s="7">
        <v>131</v>
      </c>
      <c r="E271" s="7">
        <v>146</v>
      </c>
      <c r="F271" s="7">
        <v>4936.6642599277984</v>
      </c>
      <c r="G271" s="7">
        <v>1783.3418111139481</v>
      </c>
      <c r="H271" s="7">
        <v>1589.070892493429</v>
      </c>
    </row>
    <row r="272" spans="1:8" x14ac:dyDescent="0.3">
      <c r="A272" s="7">
        <v>269</v>
      </c>
      <c r="B272" s="7">
        <v>1620.336186005514</v>
      </c>
      <c r="C272" s="7">
        <v>812.22780203761909</v>
      </c>
      <c r="D272" s="7">
        <v>129</v>
      </c>
      <c r="E272" s="7">
        <v>146</v>
      </c>
      <c r="F272" s="7">
        <v>9258.9527272727264</v>
      </c>
      <c r="G272" s="7">
        <v>3950.511895983871</v>
      </c>
      <c r="H272" s="7">
        <v>3258.1740621363501</v>
      </c>
    </row>
    <row r="273" spans="1:8" x14ac:dyDescent="0.3">
      <c r="A273" s="7">
        <v>270</v>
      </c>
      <c r="B273" s="7">
        <v>910.4924142608578</v>
      </c>
      <c r="C273" s="7">
        <v>699.29452054878288</v>
      </c>
      <c r="D273" s="7">
        <v>131</v>
      </c>
      <c r="E273" s="7">
        <v>146</v>
      </c>
      <c r="F273" s="7">
        <v>9802.1516245487364</v>
      </c>
      <c r="G273" s="7">
        <v>2076.5204307294071</v>
      </c>
      <c r="H273" s="7">
        <v>1805.563961530602</v>
      </c>
    </row>
    <row r="274" spans="1:8" x14ac:dyDescent="0.3">
      <c r="A274" s="7">
        <v>271</v>
      </c>
      <c r="B274" s="7">
        <v>1244.980582853241</v>
      </c>
      <c r="C274" s="7">
        <v>798.71919492874815</v>
      </c>
      <c r="D274" s="7">
        <v>131</v>
      </c>
      <c r="E274" s="7">
        <v>146</v>
      </c>
      <c r="F274" s="7">
        <v>8339.5920577617326</v>
      </c>
      <c r="G274" s="7">
        <v>3739.8177222185368</v>
      </c>
      <c r="H274" s="7">
        <v>3226.2187205576611</v>
      </c>
    </row>
    <row r="275" spans="1:8" x14ac:dyDescent="0.3">
      <c r="A275" s="7">
        <v>272</v>
      </c>
      <c r="B275" s="7">
        <v>964.27809025742181</v>
      </c>
      <c r="C275" s="7">
        <v>479.92452751311811</v>
      </c>
      <c r="D275" s="7">
        <v>129</v>
      </c>
      <c r="E275" s="7">
        <v>146</v>
      </c>
      <c r="F275" s="7">
        <v>6161.9236363636364</v>
      </c>
      <c r="G275" s="7">
        <v>2625.568024183035</v>
      </c>
      <c r="H275" s="7">
        <v>2262.07451913879</v>
      </c>
    </row>
    <row r="276" spans="1:8" x14ac:dyDescent="0.3">
      <c r="A276" s="7">
        <v>273</v>
      </c>
      <c r="B276" s="7">
        <v>946.57741004053639</v>
      </c>
      <c r="C276" s="7">
        <v>599.34782102435304</v>
      </c>
      <c r="D276" s="7">
        <v>129</v>
      </c>
      <c r="E276" s="7">
        <v>146</v>
      </c>
      <c r="F276" s="7">
        <v>7713.5236363636368</v>
      </c>
      <c r="G276" s="7">
        <v>2647.512874114997</v>
      </c>
      <c r="H276" s="7">
        <v>2450.5662778614619</v>
      </c>
    </row>
    <row r="277" spans="1:8" x14ac:dyDescent="0.3">
      <c r="A277" s="7">
        <v>274</v>
      </c>
      <c r="B277" s="7">
        <v>658.66533981730902</v>
      </c>
      <c r="C277" s="7">
        <v>645.14897443655059</v>
      </c>
      <c r="D277" s="7">
        <v>135</v>
      </c>
      <c r="E277" s="7">
        <v>201</v>
      </c>
      <c r="F277" s="7">
        <v>4552.9107142857147</v>
      </c>
      <c r="G277" s="7">
        <v>1620.587351228857</v>
      </c>
      <c r="H277" s="7">
        <v>1310.2548876637579</v>
      </c>
    </row>
    <row r="278" spans="1:8" x14ac:dyDescent="0.3">
      <c r="A278" s="7">
        <v>275</v>
      </c>
      <c r="B278" s="7">
        <v>1717.627662259096</v>
      </c>
      <c r="C278" s="7">
        <v>812.0867964899835</v>
      </c>
      <c r="D278" s="7">
        <v>128</v>
      </c>
      <c r="E278" s="7">
        <v>146</v>
      </c>
      <c r="F278" s="7">
        <v>6913.094890510949</v>
      </c>
      <c r="G278" s="7">
        <v>2071.9561899627611</v>
      </c>
      <c r="H278" s="7">
        <v>2014.2674524161421</v>
      </c>
    </row>
    <row r="279" spans="1:8" x14ac:dyDescent="0.3">
      <c r="A279" s="7">
        <v>276</v>
      </c>
      <c r="B279" s="7">
        <v>643.6150428490256</v>
      </c>
      <c r="C279" s="7">
        <v>387.31183940511221</v>
      </c>
      <c r="D279" s="7">
        <v>131</v>
      </c>
      <c r="E279" s="7">
        <v>146</v>
      </c>
      <c r="F279" s="7">
        <v>3858.725631768953</v>
      </c>
      <c r="G279" s="7">
        <v>1154.84661418306</v>
      </c>
      <c r="H279" s="7">
        <v>1025.4566573797181</v>
      </c>
    </row>
    <row r="280" spans="1:8" x14ac:dyDescent="0.3">
      <c r="A280" s="7">
        <v>277</v>
      </c>
      <c r="B280" s="7">
        <v>1998.8235987992721</v>
      </c>
      <c r="C280" s="7">
        <v>995.73676693027903</v>
      </c>
      <c r="D280" s="7">
        <v>128</v>
      </c>
      <c r="E280" s="7">
        <v>146</v>
      </c>
      <c r="F280" s="7">
        <v>6243.0510948905112</v>
      </c>
      <c r="G280" s="7">
        <v>2081.2876385485501</v>
      </c>
      <c r="H280" s="7">
        <v>2008.1045567795779</v>
      </c>
    </row>
    <row r="281" spans="1:8" x14ac:dyDescent="0.3">
      <c r="A281" s="7">
        <v>278</v>
      </c>
      <c r="B281" s="7">
        <v>1177.513728668873</v>
      </c>
      <c r="C281" s="7">
        <v>728.26387127255668</v>
      </c>
      <c r="D281" s="7">
        <v>131</v>
      </c>
      <c r="E281" s="7">
        <v>146</v>
      </c>
      <c r="F281" s="7">
        <v>7085.0902527075814</v>
      </c>
      <c r="G281" s="7">
        <v>2120.4715052506958</v>
      </c>
      <c r="H281" s="7">
        <v>1786.9652509825639</v>
      </c>
    </row>
    <row r="282" spans="1:8" x14ac:dyDescent="0.3">
      <c r="A282" s="7">
        <v>279</v>
      </c>
      <c r="B282" s="7">
        <v>1796.284309644886</v>
      </c>
      <c r="C282" s="7">
        <v>1131.8907376389229</v>
      </c>
      <c r="D282" s="7">
        <v>128</v>
      </c>
      <c r="E282" s="7">
        <v>146</v>
      </c>
      <c r="F282" s="7">
        <v>10328.295620437961</v>
      </c>
      <c r="G282" s="7">
        <v>4861.5748766474844</v>
      </c>
      <c r="H282" s="7">
        <v>4228.8945930883701</v>
      </c>
    </row>
    <row r="283" spans="1:8" x14ac:dyDescent="0.3">
      <c r="A283" s="7">
        <v>280</v>
      </c>
      <c r="B283" s="7">
        <v>1228.4170207625079</v>
      </c>
      <c r="C283" s="7">
        <v>675.60727104971534</v>
      </c>
      <c r="D283" s="7">
        <v>128</v>
      </c>
      <c r="E283" s="7">
        <v>146</v>
      </c>
      <c r="F283" s="7">
        <v>6251.0364963503653</v>
      </c>
      <c r="G283" s="7">
        <v>1995.232096069903</v>
      </c>
      <c r="H283" s="7">
        <v>1640.049504348063</v>
      </c>
    </row>
    <row r="284" spans="1:8" x14ac:dyDescent="0.3">
      <c r="A284" s="7">
        <v>281</v>
      </c>
      <c r="B284" s="7">
        <v>1070.3277678558929</v>
      </c>
      <c r="C284" s="7">
        <v>572.3695733351949</v>
      </c>
      <c r="D284" s="7">
        <v>131</v>
      </c>
      <c r="E284" s="7">
        <v>146</v>
      </c>
      <c r="F284" s="7">
        <v>5920.6714801444041</v>
      </c>
      <c r="G284" s="7">
        <v>1845.23353370058</v>
      </c>
      <c r="H284" s="7">
        <v>1530.3594259528511</v>
      </c>
    </row>
    <row r="285" spans="1:8" x14ac:dyDescent="0.3">
      <c r="A285" s="7">
        <v>282</v>
      </c>
      <c r="B285" s="7">
        <v>532.14077893795184</v>
      </c>
      <c r="C285" s="7">
        <v>410.80539690414042</v>
      </c>
      <c r="D285" s="7">
        <v>131</v>
      </c>
      <c r="E285" s="7">
        <v>146</v>
      </c>
      <c r="F285" s="7">
        <v>4564.646209386282</v>
      </c>
      <c r="G285" s="7">
        <v>1163.6513439951329</v>
      </c>
      <c r="H285" s="7">
        <v>1015.175684910192</v>
      </c>
    </row>
    <row r="286" spans="1:8" x14ac:dyDescent="0.3">
      <c r="A286" s="7">
        <v>283</v>
      </c>
      <c r="B286" s="7">
        <v>1758.795971334476</v>
      </c>
      <c r="C286" s="7">
        <v>930.85966092065439</v>
      </c>
      <c r="D286" s="7">
        <v>128</v>
      </c>
      <c r="E286" s="7">
        <v>146</v>
      </c>
      <c r="F286" s="7">
        <v>7477.8211678832113</v>
      </c>
      <c r="G286" s="7">
        <v>1612.3714653228949</v>
      </c>
      <c r="H286" s="7">
        <v>1571.7975552832879</v>
      </c>
    </row>
    <row r="287" spans="1:8" x14ac:dyDescent="0.3">
      <c r="A287" s="7">
        <v>284</v>
      </c>
      <c r="B287" s="7">
        <v>1981.81401124794</v>
      </c>
      <c r="C287" s="7">
        <v>933.31497621909307</v>
      </c>
      <c r="D287" s="7">
        <v>128</v>
      </c>
      <c r="E287" s="7">
        <v>146</v>
      </c>
      <c r="F287" s="7">
        <v>5713.7481751824816</v>
      </c>
      <c r="G287" s="7">
        <v>1820.3071384041209</v>
      </c>
      <c r="H287" s="7">
        <v>1820.113239740718</v>
      </c>
    </row>
    <row r="288" spans="1:8" x14ac:dyDescent="0.3">
      <c r="A288" s="7">
        <v>285</v>
      </c>
      <c r="B288" s="7">
        <v>717.41495524785</v>
      </c>
      <c r="C288" s="7">
        <v>629.64326251908471</v>
      </c>
      <c r="D288" s="7">
        <v>129</v>
      </c>
      <c r="E288" s="7">
        <v>146</v>
      </c>
      <c r="F288" s="7">
        <v>5569.2581818181816</v>
      </c>
      <c r="G288" s="7">
        <v>1489.545615123915</v>
      </c>
      <c r="H288" s="7">
        <v>1291.5563405527139</v>
      </c>
    </row>
    <row r="289" spans="1:8" x14ac:dyDescent="0.3">
      <c r="A289" s="7">
        <v>286</v>
      </c>
      <c r="B289" s="7">
        <v>943.78271286111453</v>
      </c>
      <c r="C289" s="7">
        <v>592.46209964666525</v>
      </c>
      <c r="D289" s="7">
        <v>129</v>
      </c>
      <c r="E289" s="7">
        <v>146</v>
      </c>
      <c r="F289" s="7">
        <v>4733.1490909090908</v>
      </c>
      <c r="G289" s="7">
        <v>2161.485503396992</v>
      </c>
      <c r="H289" s="7">
        <v>1969.5021952920681</v>
      </c>
    </row>
    <row r="290" spans="1:8" x14ac:dyDescent="0.3">
      <c r="A290" s="7">
        <v>287</v>
      </c>
      <c r="B290" s="7">
        <v>1553.397406268881</v>
      </c>
      <c r="C290" s="7">
        <v>1009.383179651542</v>
      </c>
      <c r="D290" s="7">
        <v>128</v>
      </c>
      <c r="E290" s="7">
        <v>146</v>
      </c>
      <c r="F290" s="7">
        <v>8407.3832116788326</v>
      </c>
      <c r="G290" s="7">
        <v>1722.8124807273721</v>
      </c>
      <c r="H290" s="7">
        <v>1659.379538277725</v>
      </c>
    </row>
    <row r="291" spans="1:8" x14ac:dyDescent="0.3">
      <c r="A291" s="7">
        <v>288</v>
      </c>
      <c r="B291" s="7">
        <v>1999.6824064501691</v>
      </c>
      <c r="C291" s="7">
        <v>802.26501328188988</v>
      </c>
      <c r="D291" s="7">
        <v>128</v>
      </c>
      <c r="E291" s="7">
        <v>146</v>
      </c>
      <c r="F291" s="7">
        <v>5736.0474452554736</v>
      </c>
      <c r="G291" s="7">
        <v>2120.8095944562069</v>
      </c>
      <c r="H291" s="7">
        <v>1962.7440272328829</v>
      </c>
    </row>
    <row r="292" spans="1:8" x14ac:dyDescent="0.3">
      <c r="A292" s="7">
        <v>289</v>
      </c>
      <c r="B292" s="7">
        <v>826.39875386936092</v>
      </c>
      <c r="C292" s="7">
        <v>507.78642479921149</v>
      </c>
      <c r="D292" s="7">
        <v>129</v>
      </c>
      <c r="E292" s="7">
        <v>146</v>
      </c>
      <c r="F292" s="7">
        <v>6165.647272727273</v>
      </c>
      <c r="G292" s="7">
        <v>1926.825653964363</v>
      </c>
      <c r="H292" s="7">
        <v>1754.0457148726241</v>
      </c>
    </row>
    <row r="293" spans="1:8" x14ac:dyDescent="0.3">
      <c r="A293" s="7">
        <v>290</v>
      </c>
      <c r="B293" s="7">
        <v>1104.0432782438199</v>
      </c>
      <c r="C293" s="7">
        <v>577.30723561343393</v>
      </c>
      <c r="D293" s="7">
        <v>129</v>
      </c>
      <c r="E293" s="7">
        <v>146</v>
      </c>
      <c r="F293" s="7">
        <v>7238.0872727272726</v>
      </c>
      <c r="G293" s="7">
        <v>2537.0197143514179</v>
      </c>
      <c r="H293" s="7">
        <v>2157.4615998423978</v>
      </c>
    </row>
    <row r="294" spans="1:8" x14ac:dyDescent="0.3">
      <c r="A294" s="7">
        <v>291</v>
      </c>
      <c r="B294" s="7">
        <v>1086.166200746766</v>
      </c>
      <c r="C294" s="7">
        <v>730.37991912328812</v>
      </c>
      <c r="D294" s="7">
        <v>131</v>
      </c>
      <c r="E294" s="7">
        <v>146</v>
      </c>
      <c r="F294" s="7">
        <v>7791.6750902527074</v>
      </c>
      <c r="G294" s="7">
        <v>2745.7721449085552</v>
      </c>
      <c r="H294" s="7">
        <v>2509.5013871940309</v>
      </c>
    </row>
    <row r="295" spans="1:8" x14ac:dyDescent="0.3">
      <c r="A295" s="7">
        <v>292</v>
      </c>
      <c r="B295" s="7">
        <v>709.95194131577341</v>
      </c>
      <c r="C295" s="7">
        <v>584.03091780931948</v>
      </c>
      <c r="D295" s="7">
        <v>131</v>
      </c>
      <c r="E295" s="7">
        <v>146</v>
      </c>
      <c r="F295" s="7">
        <v>5998.6678700361008</v>
      </c>
      <c r="G295" s="7">
        <v>1473.166392969255</v>
      </c>
      <c r="H295" s="7">
        <v>1252.5700920972199</v>
      </c>
    </row>
    <row r="296" spans="1:8" x14ac:dyDescent="0.3">
      <c r="A296" s="7">
        <v>293</v>
      </c>
      <c r="B296" s="7">
        <v>720.48824561812114</v>
      </c>
      <c r="C296" s="7">
        <v>514.35989609736282</v>
      </c>
      <c r="D296" s="7">
        <v>129</v>
      </c>
      <c r="E296" s="7">
        <v>146</v>
      </c>
      <c r="F296" s="7">
        <v>6440.1454545454544</v>
      </c>
      <c r="G296" s="7">
        <v>2127.144535749509</v>
      </c>
      <c r="H296" s="7">
        <v>1933.631817810545</v>
      </c>
    </row>
    <row r="297" spans="1:8" x14ac:dyDescent="0.3">
      <c r="A297" s="7">
        <v>294</v>
      </c>
      <c r="B297" s="7">
        <v>768.25749588233691</v>
      </c>
      <c r="C297" s="7">
        <v>504.2011803604255</v>
      </c>
      <c r="D297" s="7">
        <v>129</v>
      </c>
      <c r="E297" s="7">
        <v>146</v>
      </c>
      <c r="F297" s="7">
        <v>6054.443636363636</v>
      </c>
      <c r="G297" s="7">
        <v>1881.649474313972</v>
      </c>
      <c r="H297" s="7">
        <v>1552.508277612327</v>
      </c>
    </row>
    <row r="298" spans="1:8" x14ac:dyDescent="0.3">
      <c r="A298" s="7">
        <v>295</v>
      </c>
      <c r="B298" s="7">
        <v>839.38474188005023</v>
      </c>
      <c r="C298" s="7">
        <v>621.17345226994871</v>
      </c>
      <c r="D298" s="7">
        <v>128</v>
      </c>
      <c r="E298" s="7">
        <v>146</v>
      </c>
      <c r="F298" s="7">
        <v>5587.1131386861316</v>
      </c>
      <c r="G298" s="7">
        <v>1666.9437204619419</v>
      </c>
      <c r="H298" s="7">
        <v>1409.39604523667</v>
      </c>
    </row>
    <row r="299" spans="1:8" x14ac:dyDescent="0.3">
      <c r="A299" s="7">
        <v>296</v>
      </c>
      <c r="B299" s="7">
        <v>1120.7402717650859</v>
      </c>
      <c r="C299" s="7">
        <v>605.54241052242139</v>
      </c>
      <c r="D299" s="7">
        <v>129</v>
      </c>
      <c r="E299" s="7">
        <v>146</v>
      </c>
      <c r="F299" s="7">
        <v>7127.403636363636</v>
      </c>
      <c r="G299" s="7">
        <v>2160.3486421904108</v>
      </c>
      <c r="H299" s="7">
        <v>1826.167228535038</v>
      </c>
    </row>
    <row r="300" spans="1:8" x14ac:dyDescent="0.3">
      <c r="A300" s="7">
        <v>297</v>
      </c>
      <c r="B300" s="7">
        <v>918.30670013480858</v>
      </c>
      <c r="C300" s="7">
        <v>509.50996467720802</v>
      </c>
      <c r="D300" s="7">
        <v>128</v>
      </c>
      <c r="E300" s="7">
        <v>146</v>
      </c>
      <c r="F300" s="7">
        <v>7119.2627737226276</v>
      </c>
      <c r="G300" s="7">
        <v>2414.1315839629578</v>
      </c>
      <c r="H300" s="7">
        <v>2074.2902400580301</v>
      </c>
    </row>
    <row r="301" spans="1:8" x14ac:dyDescent="0.3">
      <c r="A301" s="7">
        <v>298</v>
      </c>
      <c r="B301" s="7">
        <v>1413.4879807769651</v>
      </c>
      <c r="C301" s="7">
        <v>874.89166610338873</v>
      </c>
      <c r="D301" s="7">
        <v>128</v>
      </c>
      <c r="E301" s="7">
        <v>146</v>
      </c>
      <c r="F301" s="7">
        <v>8498.7518248175184</v>
      </c>
      <c r="G301" s="7">
        <v>2364.6843043787048</v>
      </c>
      <c r="H301" s="7">
        <v>2246.94398397541</v>
      </c>
    </row>
    <row r="302" spans="1:8" x14ac:dyDescent="0.3">
      <c r="A302" s="7">
        <v>299</v>
      </c>
      <c r="B302" s="7">
        <v>1468.601228718218</v>
      </c>
      <c r="C302" s="7">
        <v>1364.300695869726</v>
      </c>
      <c r="D302" s="7">
        <v>131</v>
      </c>
      <c r="E302" s="7">
        <v>181</v>
      </c>
      <c r="F302" s="7">
        <v>5867.0256410256407</v>
      </c>
      <c r="G302" s="7">
        <v>2152.7473180257771</v>
      </c>
      <c r="H302" s="7">
        <v>2306.387716396041</v>
      </c>
    </row>
    <row r="303" spans="1:8" x14ac:dyDescent="0.3">
      <c r="A303" s="7">
        <v>300</v>
      </c>
      <c r="B303" s="7">
        <v>1070.1544924788591</v>
      </c>
      <c r="C303" s="7">
        <v>681.05550800173546</v>
      </c>
      <c r="D303" s="7">
        <v>129</v>
      </c>
      <c r="E303" s="7">
        <v>146</v>
      </c>
      <c r="F303" s="7">
        <v>7623.949090909091</v>
      </c>
      <c r="G303" s="7">
        <v>2353.36590881554</v>
      </c>
      <c r="H303" s="7">
        <v>1910.356817778521</v>
      </c>
    </row>
    <row r="304" spans="1:8" x14ac:dyDescent="0.3">
      <c r="A304" s="7">
        <v>301</v>
      </c>
      <c r="B304" s="7">
        <v>979.51945504623427</v>
      </c>
      <c r="C304" s="7">
        <v>618.35043644956943</v>
      </c>
      <c r="D304" s="7">
        <v>131</v>
      </c>
      <c r="E304" s="7">
        <v>146</v>
      </c>
      <c r="F304" s="7">
        <v>5602.2888086642597</v>
      </c>
      <c r="G304" s="7">
        <v>1467.8291053262119</v>
      </c>
      <c r="H304" s="7">
        <v>1287.964694700333</v>
      </c>
    </row>
    <row r="305" spans="1:8" x14ac:dyDescent="0.3">
      <c r="A305" s="7">
        <v>302</v>
      </c>
      <c r="B305" s="7">
        <v>629.04205340996214</v>
      </c>
      <c r="C305" s="7">
        <v>604.98254502195425</v>
      </c>
      <c r="D305" s="7">
        <v>129</v>
      </c>
      <c r="E305" s="7">
        <v>146</v>
      </c>
      <c r="F305" s="7">
        <v>3956.625454545454</v>
      </c>
      <c r="G305" s="7">
        <v>1428.314000393797</v>
      </c>
      <c r="H305" s="7">
        <v>1307.625655975128</v>
      </c>
    </row>
    <row r="306" spans="1:8" x14ac:dyDescent="0.3">
      <c r="A306" s="7">
        <v>303</v>
      </c>
      <c r="B306" s="7">
        <v>898.45348197830299</v>
      </c>
      <c r="C306" s="7">
        <v>479.34207440034987</v>
      </c>
      <c r="D306" s="7">
        <v>129</v>
      </c>
      <c r="E306" s="7">
        <v>146</v>
      </c>
      <c r="F306" s="7">
        <v>6141.3963636363633</v>
      </c>
      <c r="G306" s="7">
        <v>2134.045263354672</v>
      </c>
      <c r="H306" s="7">
        <v>1829.3542426784049</v>
      </c>
    </row>
    <row r="307" spans="1:8" x14ac:dyDescent="0.3">
      <c r="A307" s="7">
        <v>304</v>
      </c>
      <c r="B307" s="7">
        <v>1070.5341281515821</v>
      </c>
      <c r="C307" s="7">
        <v>653.06825235397787</v>
      </c>
      <c r="D307" s="7">
        <v>131</v>
      </c>
      <c r="E307" s="7">
        <v>146</v>
      </c>
      <c r="F307" s="7">
        <v>6985.8086642599274</v>
      </c>
      <c r="G307" s="7">
        <v>2243.7488684638538</v>
      </c>
      <c r="H307" s="7">
        <v>1878.847561015594</v>
      </c>
    </row>
    <row r="308" spans="1:8" x14ac:dyDescent="0.3">
      <c r="A308" s="7">
        <v>305</v>
      </c>
      <c r="B308" s="7">
        <v>898.61761317622938</v>
      </c>
      <c r="C308" s="7">
        <v>614.00218058668895</v>
      </c>
      <c r="D308" s="7">
        <v>129</v>
      </c>
      <c r="E308" s="7">
        <v>146</v>
      </c>
      <c r="F308" s="7">
        <v>6426.687272727273</v>
      </c>
      <c r="G308" s="7">
        <v>2265.9411960322291</v>
      </c>
      <c r="H308" s="7">
        <v>2007.1264762791659</v>
      </c>
    </row>
    <row r="309" spans="1:8" x14ac:dyDescent="0.3">
      <c r="A309" s="7">
        <v>306</v>
      </c>
      <c r="B309" s="7">
        <v>2256.5985870687632</v>
      </c>
      <c r="C309" s="7">
        <v>1023.834606209618</v>
      </c>
      <c r="D309" s="7">
        <v>128</v>
      </c>
      <c r="E309" s="7">
        <v>146</v>
      </c>
      <c r="F309" s="7">
        <v>4415.0875912408756</v>
      </c>
      <c r="G309" s="7">
        <v>980.40754042005415</v>
      </c>
      <c r="H309" s="7">
        <v>962.45094164247826</v>
      </c>
    </row>
    <row r="310" spans="1:8" x14ac:dyDescent="0.3">
      <c r="A310" s="7">
        <v>307</v>
      </c>
      <c r="B310" s="7">
        <v>538.91661177415813</v>
      </c>
      <c r="C310" s="7">
        <v>313.93356866774798</v>
      </c>
      <c r="D310" s="7">
        <v>131</v>
      </c>
      <c r="E310" s="7">
        <v>146</v>
      </c>
      <c r="F310" s="7">
        <v>2656.036101083032</v>
      </c>
      <c r="G310" s="7">
        <v>1082.8866426898201</v>
      </c>
      <c r="H310" s="7">
        <v>1005.804945822547</v>
      </c>
    </row>
    <row r="311" spans="1:8" x14ac:dyDescent="0.3">
      <c r="A311" s="7">
        <v>308</v>
      </c>
      <c r="B311" s="7">
        <v>1080.759841135025</v>
      </c>
      <c r="C311" s="7">
        <v>763.47475707278431</v>
      </c>
      <c r="D311" s="7">
        <v>129</v>
      </c>
      <c r="E311" s="7">
        <v>146</v>
      </c>
      <c r="F311" s="7">
        <v>8647.6218181818185</v>
      </c>
      <c r="G311" s="7">
        <v>2849.6845561864279</v>
      </c>
      <c r="H311" s="7">
        <v>2598.0986211469108</v>
      </c>
    </row>
    <row r="312" spans="1:8" x14ac:dyDescent="0.3">
      <c r="A312" s="7">
        <v>309</v>
      </c>
      <c r="B312" s="7">
        <v>993.00658378375215</v>
      </c>
      <c r="C312" s="7">
        <v>552.59464150451436</v>
      </c>
      <c r="D312" s="7">
        <v>129</v>
      </c>
      <c r="E312" s="7">
        <v>146</v>
      </c>
      <c r="F312" s="7">
        <v>6961.494545454545</v>
      </c>
      <c r="G312" s="7">
        <v>2664.8863611474048</v>
      </c>
      <c r="H312" s="7">
        <v>2390.574892168931</v>
      </c>
    </row>
    <row r="313" spans="1:8" x14ac:dyDescent="0.3">
      <c r="A313" s="7">
        <v>310</v>
      </c>
      <c r="B313" s="7">
        <v>1437.0602683414711</v>
      </c>
      <c r="C313" s="7">
        <v>1219.5814900561129</v>
      </c>
      <c r="D313" s="7">
        <v>131</v>
      </c>
      <c r="E313" s="7">
        <v>182</v>
      </c>
      <c r="F313" s="7">
        <v>8644.9137380191696</v>
      </c>
      <c r="G313" s="7">
        <v>3535.864794831421</v>
      </c>
      <c r="H313" s="7">
        <v>3232.6360794215639</v>
      </c>
    </row>
    <row r="314" spans="1:8" x14ac:dyDescent="0.3">
      <c r="A314" s="7">
        <v>311</v>
      </c>
      <c r="B314" s="7">
        <v>866.19195959994454</v>
      </c>
      <c r="C314" s="7">
        <v>574.10821177814353</v>
      </c>
      <c r="D314" s="7">
        <v>129</v>
      </c>
      <c r="E314" s="7">
        <v>146</v>
      </c>
      <c r="F314" s="7">
        <v>6988.454545454545</v>
      </c>
      <c r="G314" s="7">
        <v>1976.019189484075</v>
      </c>
      <c r="H314" s="7">
        <v>1626.765567722887</v>
      </c>
    </row>
    <row r="315" spans="1:8" x14ac:dyDescent="0.3">
      <c r="A315" s="7">
        <v>312</v>
      </c>
      <c r="B315" s="7">
        <v>710.46631920040488</v>
      </c>
      <c r="C315" s="7">
        <v>425.75217925367889</v>
      </c>
      <c r="D315" s="7">
        <v>129</v>
      </c>
      <c r="E315" s="7">
        <v>146</v>
      </c>
      <c r="F315" s="7">
        <v>5576.6254545454549</v>
      </c>
      <c r="G315" s="7">
        <v>2000.980211346817</v>
      </c>
      <c r="H315" s="7">
        <v>1819.3733736104689</v>
      </c>
    </row>
    <row r="316" spans="1:8" x14ac:dyDescent="0.3">
      <c r="A316" s="7">
        <v>313</v>
      </c>
      <c r="B316" s="7">
        <v>1101.1203542321571</v>
      </c>
      <c r="C316" s="7">
        <v>690.04394038678493</v>
      </c>
      <c r="D316" s="7">
        <v>131</v>
      </c>
      <c r="E316" s="7">
        <v>146</v>
      </c>
      <c r="F316" s="7">
        <v>7049.9314079422384</v>
      </c>
      <c r="G316" s="7">
        <v>2655.6046464351462</v>
      </c>
      <c r="H316" s="7">
        <v>2464.194987892834</v>
      </c>
    </row>
    <row r="317" spans="1:8" x14ac:dyDescent="0.3">
      <c r="A317" s="7">
        <v>314</v>
      </c>
      <c r="B317" s="7">
        <v>729.5993523316688</v>
      </c>
      <c r="C317" s="7">
        <v>419.60664518069012</v>
      </c>
      <c r="D317" s="7">
        <v>129</v>
      </c>
      <c r="E317" s="7">
        <v>146</v>
      </c>
      <c r="F317" s="7">
        <v>5148.8836363636356</v>
      </c>
      <c r="G317" s="7">
        <v>1698.434669212035</v>
      </c>
      <c r="H317" s="7">
        <v>1452.8395814111991</v>
      </c>
    </row>
    <row r="318" spans="1:8" x14ac:dyDescent="0.3">
      <c r="A318" s="7">
        <v>315</v>
      </c>
      <c r="B318" s="7">
        <v>734.02387934730484</v>
      </c>
      <c r="C318" s="7">
        <v>499.13129200618403</v>
      </c>
      <c r="D318" s="7">
        <v>131</v>
      </c>
      <c r="E318" s="7">
        <v>146</v>
      </c>
      <c r="F318" s="7">
        <v>4195.2382671480154</v>
      </c>
      <c r="G318" s="7">
        <v>1228.47422899209</v>
      </c>
      <c r="H318" s="7">
        <v>1026.0363654801281</v>
      </c>
    </row>
    <row r="319" spans="1:8" x14ac:dyDescent="0.3">
      <c r="A319" s="7">
        <v>316</v>
      </c>
      <c r="B319" s="7">
        <v>1181.4748563417161</v>
      </c>
      <c r="C319" s="7">
        <v>656.17587764794575</v>
      </c>
      <c r="D319" s="7">
        <v>129</v>
      </c>
      <c r="E319" s="7">
        <v>146</v>
      </c>
      <c r="F319" s="7">
        <v>10258.665454545449</v>
      </c>
      <c r="G319" s="7">
        <v>3622.0652477439889</v>
      </c>
      <c r="H319" s="7">
        <v>3177.8210000280351</v>
      </c>
    </row>
    <row r="320" spans="1:8" x14ac:dyDescent="0.3">
      <c r="A320" s="7">
        <v>317</v>
      </c>
      <c r="B320" s="7">
        <v>2156.600918391533</v>
      </c>
      <c r="C320" s="7">
        <v>866.39037591225713</v>
      </c>
      <c r="D320" s="7">
        <v>128</v>
      </c>
      <c r="E320" s="7">
        <v>146</v>
      </c>
      <c r="F320" s="7">
        <v>5504.6313868613142</v>
      </c>
      <c r="G320" s="7">
        <v>1693.8009747864421</v>
      </c>
      <c r="H320" s="7">
        <v>1440.168678286612</v>
      </c>
    </row>
    <row r="321" spans="1:8" x14ac:dyDescent="0.3">
      <c r="A321" s="7">
        <v>318</v>
      </c>
      <c r="B321" s="7">
        <v>1269.4862063142759</v>
      </c>
      <c r="C321" s="7">
        <v>789.35771615511487</v>
      </c>
      <c r="D321" s="7">
        <v>131</v>
      </c>
      <c r="E321" s="7">
        <v>146</v>
      </c>
      <c r="F321" s="7">
        <v>7432.3212996389893</v>
      </c>
      <c r="G321" s="7">
        <v>2538.4162310054789</v>
      </c>
      <c r="H321" s="7">
        <v>2278.042660490295</v>
      </c>
    </row>
    <row r="322" spans="1:8" x14ac:dyDescent="0.3">
      <c r="A322" s="7">
        <v>319</v>
      </c>
      <c r="B322" s="7">
        <v>1486.306169904291</v>
      </c>
      <c r="C322" s="7">
        <v>823.71217044908747</v>
      </c>
      <c r="D322" s="7">
        <v>131</v>
      </c>
      <c r="E322" s="7">
        <v>146</v>
      </c>
      <c r="F322" s="7">
        <v>7670.6353790613721</v>
      </c>
      <c r="G322" s="7">
        <v>2243.245295997579</v>
      </c>
      <c r="H322" s="7">
        <v>1825.124165413981</v>
      </c>
    </row>
    <row r="323" spans="1:8" x14ac:dyDescent="0.3">
      <c r="A323" s="7">
        <v>320</v>
      </c>
      <c r="B323" s="7">
        <v>2700.519543419784</v>
      </c>
      <c r="C323" s="7">
        <v>1369.239156088674</v>
      </c>
      <c r="D323" s="7">
        <v>131</v>
      </c>
      <c r="E323" s="7">
        <v>146</v>
      </c>
      <c r="F323" s="7">
        <v>14738.696750902531</v>
      </c>
      <c r="G323" s="7">
        <v>4742.1827285053396</v>
      </c>
      <c r="H323" s="7">
        <v>3819.5555324871798</v>
      </c>
    </row>
    <row r="324" spans="1:8" x14ac:dyDescent="0.3">
      <c r="A324" s="7">
        <v>321</v>
      </c>
      <c r="B324" s="7">
        <v>1078.3977340878989</v>
      </c>
      <c r="C324" s="7">
        <v>738.03130585594033</v>
      </c>
      <c r="D324" s="7">
        <v>131</v>
      </c>
      <c r="E324" s="7">
        <v>146</v>
      </c>
      <c r="F324" s="7">
        <v>6115.5126353790611</v>
      </c>
      <c r="G324" s="7">
        <v>2119.3443570634749</v>
      </c>
      <c r="H324" s="7">
        <v>1934.4775550413869</v>
      </c>
    </row>
    <row r="325" spans="1:8" x14ac:dyDescent="0.3">
      <c r="A325" s="7">
        <v>322</v>
      </c>
      <c r="B325" s="7">
        <v>682.22709591686043</v>
      </c>
      <c r="C325" s="7">
        <v>401.79202685495488</v>
      </c>
      <c r="D325" s="7">
        <v>131</v>
      </c>
      <c r="E325" s="7">
        <v>146</v>
      </c>
      <c r="F325" s="7">
        <v>5100.574007220217</v>
      </c>
      <c r="G325" s="7">
        <v>2010.878268870033</v>
      </c>
      <c r="H325" s="7">
        <v>1791.721807158292</v>
      </c>
    </row>
    <row r="326" spans="1:8" x14ac:dyDescent="0.3">
      <c r="A326" s="7">
        <v>323</v>
      </c>
      <c r="B326" s="7">
        <v>1067.1772742415851</v>
      </c>
      <c r="C326" s="7">
        <v>768.17930030110506</v>
      </c>
      <c r="D326" s="7">
        <v>129</v>
      </c>
      <c r="E326" s="7">
        <v>146</v>
      </c>
      <c r="F326" s="7">
        <v>7675.1236363636363</v>
      </c>
      <c r="G326" s="7">
        <v>2274.2228266193001</v>
      </c>
      <c r="H326" s="7">
        <v>1986.345430994538</v>
      </c>
    </row>
    <row r="327" spans="1:8" x14ac:dyDescent="0.3">
      <c r="A327" s="7">
        <v>324</v>
      </c>
      <c r="B327" s="7">
        <v>804.82240125219505</v>
      </c>
      <c r="C327" s="7">
        <v>592.21918307287103</v>
      </c>
      <c r="D327" s="7">
        <v>130</v>
      </c>
      <c r="E327" s="7">
        <v>146</v>
      </c>
      <c r="F327" s="7">
        <v>5391.420289855072</v>
      </c>
      <c r="G327" s="7">
        <v>2155.02711209074</v>
      </c>
      <c r="H327" s="7">
        <v>1887.084610918949</v>
      </c>
    </row>
    <row r="328" spans="1:8" x14ac:dyDescent="0.3">
      <c r="A328" s="7">
        <v>325</v>
      </c>
      <c r="B328" s="7">
        <v>1041.027994851288</v>
      </c>
      <c r="C328" s="7">
        <v>693.60173192738455</v>
      </c>
      <c r="D328" s="7">
        <v>129</v>
      </c>
      <c r="E328" s="7">
        <v>146</v>
      </c>
      <c r="F328" s="7">
        <v>6339.909090909091</v>
      </c>
      <c r="G328" s="7">
        <v>1953.8509024071441</v>
      </c>
      <c r="H328" s="7">
        <v>1651.7684918549969</v>
      </c>
    </row>
    <row r="329" spans="1:8" x14ac:dyDescent="0.3">
      <c r="A329" s="7">
        <v>326</v>
      </c>
      <c r="B329" s="7">
        <v>904.91953476499634</v>
      </c>
      <c r="C329" s="7">
        <v>535.16260524894028</v>
      </c>
      <c r="D329" s="7">
        <v>129</v>
      </c>
      <c r="E329" s="7">
        <v>146</v>
      </c>
      <c r="F329" s="7">
        <v>5493.68</v>
      </c>
      <c r="G329" s="7">
        <v>1715.714200283446</v>
      </c>
      <c r="H329" s="7">
        <v>1488.9200761460249</v>
      </c>
    </row>
    <row r="330" spans="1:8" x14ac:dyDescent="0.3">
      <c r="A330" s="7">
        <v>327</v>
      </c>
      <c r="B330" s="7">
        <v>1152.579657085626</v>
      </c>
      <c r="C330" s="7">
        <v>882.34412972459313</v>
      </c>
      <c r="D330" s="7">
        <v>130</v>
      </c>
      <c r="E330" s="7">
        <v>146</v>
      </c>
      <c r="F330" s="7">
        <v>8152.268115942029</v>
      </c>
      <c r="G330" s="7">
        <v>2934.0573653350621</v>
      </c>
      <c r="H330" s="7">
        <v>2566.5034940423329</v>
      </c>
    </row>
    <row r="331" spans="1:8" x14ac:dyDescent="0.3">
      <c r="A331" s="7">
        <v>328</v>
      </c>
      <c r="B331" s="7">
        <v>743.99926033194879</v>
      </c>
      <c r="C331" s="7">
        <v>393.25905446603753</v>
      </c>
      <c r="D331" s="7">
        <v>129</v>
      </c>
      <c r="E331" s="7">
        <v>146</v>
      </c>
      <c r="F331" s="7">
        <v>4484.6618181818176</v>
      </c>
      <c r="G331" s="7">
        <v>1290.9770892472261</v>
      </c>
      <c r="H331" s="7">
        <v>968.19754861840306</v>
      </c>
    </row>
    <row r="332" spans="1:8" x14ac:dyDescent="0.3">
      <c r="A332" s="7">
        <v>329</v>
      </c>
      <c r="B332" s="7">
        <v>1251.672550157667</v>
      </c>
      <c r="C332" s="7">
        <v>679.68148134200203</v>
      </c>
      <c r="D332" s="7">
        <v>129</v>
      </c>
      <c r="E332" s="7">
        <v>146</v>
      </c>
      <c r="F332" s="7">
        <v>7182.9272727272728</v>
      </c>
      <c r="G332" s="7">
        <v>2437.9665293948592</v>
      </c>
      <c r="H332" s="7">
        <v>2057.0993859222372</v>
      </c>
    </row>
    <row r="333" spans="1:8" x14ac:dyDescent="0.3">
      <c r="A333" s="7">
        <v>330</v>
      </c>
      <c r="B333" s="7">
        <v>892.3953266140071</v>
      </c>
      <c r="C333" s="7">
        <v>591.03248172850203</v>
      </c>
      <c r="D333" s="7">
        <v>129</v>
      </c>
      <c r="E333" s="7">
        <v>146</v>
      </c>
      <c r="F333" s="7">
        <v>4221.4981818181814</v>
      </c>
      <c r="G333" s="7">
        <v>1413.222895897308</v>
      </c>
      <c r="H333" s="7">
        <v>1316.6193555455809</v>
      </c>
    </row>
    <row r="334" spans="1:8" x14ac:dyDescent="0.3">
      <c r="A334" s="7">
        <v>331</v>
      </c>
      <c r="B334" s="7">
        <v>860.07721803883044</v>
      </c>
      <c r="C334" s="7">
        <v>616.19437478513123</v>
      </c>
      <c r="D334" s="7">
        <v>129</v>
      </c>
      <c r="E334" s="7">
        <v>146</v>
      </c>
      <c r="F334" s="7">
        <v>5604.88</v>
      </c>
      <c r="G334" s="7">
        <v>1594.0701111870351</v>
      </c>
      <c r="H334" s="7">
        <v>1264.310784686254</v>
      </c>
    </row>
    <row r="335" spans="1:8" x14ac:dyDescent="0.3">
      <c r="A335" s="7">
        <v>332</v>
      </c>
      <c r="B335" s="7">
        <v>460.66482620369368</v>
      </c>
      <c r="C335" s="7">
        <v>410.61337555972187</v>
      </c>
      <c r="D335" s="7">
        <v>130</v>
      </c>
      <c r="E335" s="7">
        <v>146</v>
      </c>
      <c r="F335" s="7">
        <v>3812.619565217391</v>
      </c>
      <c r="G335" s="7">
        <v>1088.548419473595</v>
      </c>
      <c r="H335" s="7">
        <v>983.87788110695271</v>
      </c>
    </row>
    <row r="336" spans="1:8" x14ac:dyDescent="0.3">
      <c r="A336" s="7">
        <v>333</v>
      </c>
      <c r="B336" s="7">
        <v>1337.3719051107159</v>
      </c>
      <c r="C336" s="7">
        <v>805.35396592266056</v>
      </c>
      <c r="D336" s="7">
        <v>131</v>
      </c>
      <c r="E336" s="7">
        <v>146</v>
      </c>
      <c r="F336" s="7">
        <v>10098.039711191341</v>
      </c>
      <c r="G336" s="7">
        <v>2862.3575093706199</v>
      </c>
      <c r="H336" s="7">
        <v>2497.4691449819729</v>
      </c>
    </row>
    <row r="337" spans="1:8" x14ac:dyDescent="0.3">
      <c r="A337" s="7">
        <v>334</v>
      </c>
      <c r="B337" s="7">
        <v>780.62216970859606</v>
      </c>
      <c r="C337" s="7">
        <v>566.9291466543358</v>
      </c>
      <c r="D337" s="7">
        <v>129</v>
      </c>
      <c r="E337" s="7">
        <v>146</v>
      </c>
      <c r="F337" s="7">
        <v>5466.5890909090913</v>
      </c>
      <c r="G337" s="7">
        <v>1611.26941145144</v>
      </c>
      <c r="H337" s="7">
        <v>1427.849688474495</v>
      </c>
    </row>
    <row r="338" spans="1:8" x14ac:dyDescent="0.3">
      <c r="A338" s="7">
        <v>335</v>
      </c>
      <c r="B338" s="7">
        <v>1975.5166538036469</v>
      </c>
      <c r="C338" s="7">
        <v>1022.5176051226661</v>
      </c>
      <c r="D338" s="7">
        <v>135</v>
      </c>
      <c r="E338" s="7">
        <v>201</v>
      </c>
      <c r="F338" s="7">
        <v>13973.461309523809</v>
      </c>
      <c r="G338" s="7">
        <v>5956.350415033241</v>
      </c>
      <c r="H338" s="7">
        <v>4170.9379184306963</v>
      </c>
    </row>
    <row r="339" spans="1:8" x14ac:dyDescent="0.3">
      <c r="A339" s="7">
        <v>336</v>
      </c>
      <c r="B339" s="7">
        <v>1397.5931555404759</v>
      </c>
      <c r="C339" s="7">
        <v>729.82324872205834</v>
      </c>
      <c r="D339" s="7">
        <v>129</v>
      </c>
      <c r="E339" s="7">
        <v>146</v>
      </c>
      <c r="F339" s="7">
        <v>13671.52363636364</v>
      </c>
      <c r="G339" s="7">
        <v>4177.0495419576964</v>
      </c>
      <c r="H339" s="7">
        <v>3591.629113895367</v>
      </c>
    </row>
    <row r="340" spans="1:8" x14ac:dyDescent="0.3">
      <c r="A340" s="7">
        <v>337</v>
      </c>
      <c r="B340" s="7">
        <v>972.47347596019961</v>
      </c>
      <c r="C340" s="7">
        <v>691.56688557083032</v>
      </c>
      <c r="D340" s="7">
        <v>129</v>
      </c>
      <c r="E340" s="7">
        <v>146</v>
      </c>
      <c r="F340" s="7">
        <v>5390.1127272727272</v>
      </c>
      <c r="G340" s="7">
        <v>1612.0556355451949</v>
      </c>
      <c r="H340" s="7">
        <v>1373.8470234475219</v>
      </c>
    </row>
    <row r="341" spans="1:8" x14ac:dyDescent="0.3">
      <c r="A341" s="7">
        <v>338</v>
      </c>
      <c r="B341" s="7">
        <v>935.53817802566175</v>
      </c>
      <c r="C341" s="7">
        <v>699.6946194281802</v>
      </c>
      <c r="D341" s="7">
        <v>129</v>
      </c>
      <c r="E341" s="7">
        <v>146</v>
      </c>
      <c r="F341" s="7">
        <v>6983.6036363636367</v>
      </c>
      <c r="G341" s="7">
        <v>2295.2409104948661</v>
      </c>
      <c r="H341" s="7">
        <v>1984.5353032543951</v>
      </c>
    </row>
    <row r="342" spans="1:8" x14ac:dyDescent="0.3">
      <c r="A342" s="7">
        <v>339</v>
      </c>
      <c r="B342" s="7">
        <v>835.14911016684187</v>
      </c>
      <c r="C342" s="7">
        <v>589.69450238585432</v>
      </c>
      <c r="D342" s="7">
        <v>129</v>
      </c>
      <c r="E342" s="7">
        <v>146</v>
      </c>
      <c r="F342" s="7">
        <v>5234.5672727272731</v>
      </c>
      <c r="G342" s="7">
        <v>1403.0315129592029</v>
      </c>
      <c r="H342" s="7">
        <v>1316.770442127357</v>
      </c>
    </row>
    <row r="343" spans="1:8" x14ac:dyDescent="0.3">
      <c r="A343" s="7">
        <v>340</v>
      </c>
      <c r="B343" s="7">
        <v>1016.342380411354</v>
      </c>
      <c r="C343" s="7">
        <v>637.06737176730519</v>
      </c>
      <c r="D343" s="7">
        <v>131</v>
      </c>
      <c r="E343" s="7">
        <v>146</v>
      </c>
      <c r="F343" s="7">
        <v>6697</v>
      </c>
      <c r="G343" s="7">
        <v>2150.7998778370379</v>
      </c>
      <c r="H343" s="7">
        <v>1958.210160898614</v>
      </c>
    </row>
    <row r="344" spans="1:8" x14ac:dyDescent="0.3">
      <c r="A344" s="7">
        <v>341</v>
      </c>
      <c r="B344" s="7">
        <v>954.75264347689892</v>
      </c>
      <c r="C344" s="7">
        <v>453.31485816317581</v>
      </c>
      <c r="D344" s="7">
        <v>129</v>
      </c>
      <c r="E344" s="7">
        <v>146</v>
      </c>
      <c r="F344" s="7">
        <v>5795.0363636363636</v>
      </c>
      <c r="G344" s="7">
        <v>1860.280417721516</v>
      </c>
      <c r="H344" s="7">
        <v>1481.881749853188</v>
      </c>
    </row>
    <row r="345" spans="1:8" x14ac:dyDescent="0.3">
      <c r="A345" s="7">
        <v>342</v>
      </c>
      <c r="B345" s="7">
        <v>1560.354251033134</v>
      </c>
      <c r="C345" s="7">
        <v>1083.33830970438</v>
      </c>
      <c r="D345" s="7">
        <v>126</v>
      </c>
      <c r="E345" s="7">
        <v>146</v>
      </c>
      <c r="F345" s="7">
        <v>11390.10294117647</v>
      </c>
      <c r="G345" s="7">
        <v>2841.5183371425669</v>
      </c>
      <c r="H345" s="7">
        <v>2726.7366515898239</v>
      </c>
    </row>
    <row r="346" spans="1:8" x14ac:dyDescent="0.3">
      <c r="A346" s="7">
        <v>343</v>
      </c>
      <c r="B346" s="7">
        <v>1402.3941531648529</v>
      </c>
      <c r="C346" s="7">
        <v>610.68916184963018</v>
      </c>
      <c r="D346" s="7">
        <v>129</v>
      </c>
      <c r="E346" s="7">
        <v>146</v>
      </c>
      <c r="F346" s="7">
        <v>7922.5090909090914</v>
      </c>
      <c r="G346" s="7">
        <v>3087.8838028405412</v>
      </c>
      <c r="H346" s="7">
        <v>2446.2868703516351</v>
      </c>
    </row>
    <row r="347" spans="1:8" x14ac:dyDescent="0.3">
      <c r="A347" s="7">
        <v>344</v>
      </c>
      <c r="B347" s="7">
        <v>1401.688034257859</v>
      </c>
      <c r="C347" s="7">
        <v>875.1901712966669</v>
      </c>
      <c r="D347" s="7">
        <v>131</v>
      </c>
      <c r="E347" s="7">
        <v>146</v>
      </c>
      <c r="F347" s="7">
        <v>9036.1732851985562</v>
      </c>
      <c r="G347" s="7">
        <v>3269.549169379834</v>
      </c>
      <c r="H347" s="7">
        <v>2915.2596550160638</v>
      </c>
    </row>
    <row r="348" spans="1:8" x14ac:dyDescent="0.3">
      <c r="A348" s="7">
        <v>345</v>
      </c>
      <c r="B348" s="7">
        <v>2431.5553428417111</v>
      </c>
      <c r="C348" s="7">
        <v>880.53280770251126</v>
      </c>
      <c r="D348" s="7">
        <v>128</v>
      </c>
      <c r="E348" s="7">
        <v>146</v>
      </c>
      <c r="F348" s="7">
        <v>4517.7153284671531</v>
      </c>
      <c r="G348" s="7">
        <v>1193.371353560995</v>
      </c>
      <c r="H348" s="7">
        <v>1236.623415839576</v>
      </c>
    </row>
    <row r="349" spans="1:8" x14ac:dyDescent="0.3">
      <c r="A349" s="7">
        <v>346</v>
      </c>
      <c r="B349" s="7">
        <v>1467.4602861367241</v>
      </c>
      <c r="C349" s="7">
        <v>743.46158189461528</v>
      </c>
      <c r="D349" s="7">
        <v>129</v>
      </c>
      <c r="E349" s="7">
        <v>146</v>
      </c>
      <c r="F349" s="7">
        <v>7391.2945454545452</v>
      </c>
      <c r="G349" s="7">
        <v>2185.7887601220682</v>
      </c>
      <c r="H349" s="7">
        <v>1674.6347628784899</v>
      </c>
    </row>
    <row r="350" spans="1:8" x14ac:dyDescent="0.3">
      <c r="A350" s="7">
        <v>347</v>
      </c>
      <c r="B350" s="7">
        <v>895.26574246486086</v>
      </c>
      <c r="C350" s="7">
        <v>660.50034676651342</v>
      </c>
      <c r="D350" s="7">
        <v>128</v>
      </c>
      <c r="E350" s="7">
        <v>146</v>
      </c>
      <c r="F350" s="7">
        <v>5164.9379562043796</v>
      </c>
      <c r="G350" s="7">
        <v>1396.820454751612</v>
      </c>
      <c r="H350" s="7">
        <v>1390.8370373208941</v>
      </c>
    </row>
    <row r="351" spans="1:8" x14ac:dyDescent="0.3">
      <c r="A351" s="7">
        <v>348</v>
      </c>
      <c r="B351" s="7">
        <v>1470.414616335599</v>
      </c>
      <c r="C351" s="7">
        <v>921.4285742331881</v>
      </c>
      <c r="D351" s="7">
        <v>128</v>
      </c>
      <c r="E351" s="7">
        <v>146</v>
      </c>
      <c r="F351" s="7">
        <v>8819.445255474453</v>
      </c>
      <c r="G351" s="7">
        <v>1783.7252954666251</v>
      </c>
      <c r="H351" s="7">
        <v>1692.205938518171</v>
      </c>
    </row>
    <row r="352" spans="1:8" x14ac:dyDescent="0.3">
      <c r="A352" s="7">
        <v>349</v>
      </c>
      <c r="B352" s="7">
        <v>855.22708908489881</v>
      </c>
      <c r="C352" s="7">
        <v>953.91149478985756</v>
      </c>
      <c r="D352" s="7">
        <v>131</v>
      </c>
      <c r="E352" s="7">
        <v>146</v>
      </c>
      <c r="F352" s="7">
        <v>8779.8844765342965</v>
      </c>
      <c r="G352" s="7">
        <v>1389.330249431262</v>
      </c>
      <c r="H352" s="7">
        <v>1280.0090512308409</v>
      </c>
    </row>
    <row r="353" spans="1:8" x14ac:dyDescent="0.3">
      <c r="A353" s="7">
        <v>350</v>
      </c>
      <c r="B353" s="7">
        <v>1042.7031880017039</v>
      </c>
      <c r="C353" s="7">
        <v>653.85263508931359</v>
      </c>
      <c r="D353" s="7">
        <v>129</v>
      </c>
      <c r="E353" s="7">
        <v>146</v>
      </c>
      <c r="F353" s="7">
        <v>7009.2836363636361</v>
      </c>
      <c r="G353" s="7">
        <v>2563.9993136933858</v>
      </c>
      <c r="H353" s="7">
        <v>2147.7082720699782</v>
      </c>
    </row>
    <row r="354" spans="1:8" x14ac:dyDescent="0.3">
      <c r="A354" s="7">
        <v>351</v>
      </c>
      <c r="B354" s="7">
        <v>816.77374560645342</v>
      </c>
      <c r="C354" s="7">
        <v>565.39876751502277</v>
      </c>
      <c r="D354" s="7">
        <v>129</v>
      </c>
      <c r="E354" s="7">
        <v>146</v>
      </c>
      <c r="F354" s="7">
        <v>6328.3345454545452</v>
      </c>
      <c r="G354" s="7">
        <v>2211.9799244221249</v>
      </c>
      <c r="H354" s="7">
        <v>1888.474942801477</v>
      </c>
    </row>
    <row r="355" spans="1:8" x14ac:dyDescent="0.3">
      <c r="A355" s="7">
        <v>352</v>
      </c>
      <c r="B355" s="7">
        <v>1048.3677843888231</v>
      </c>
      <c r="C355" s="7">
        <v>612.61911077494017</v>
      </c>
      <c r="D355" s="7">
        <v>131</v>
      </c>
      <c r="E355" s="7">
        <v>146</v>
      </c>
      <c r="F355" s="7">
        <v>6574.7292418772568</v>
      </c>
      <c r="G355" s="7">
        <v>1821.092625635785</v>
      </c>
      <c r="H355" s="7">
        <v>1669.4695942206911</v>
      </c>
    </row>
    <row r="356" spans="1:8" x14ac:dyDescent="0.3">
      <c r="A356" s="7">
        <v>353</v>
      </c>
      <c r="B356" s="7">
        <v>807.72487914606825</v>
      </c>
      <c r="C356" s="7">
        <v>710.19455292117868</v>
      </c>
      <c r="D356" s="7">
        <v>135</v>
      </c>
      <c r="E356" s="7">
        <v>201</v>
      </c>
      <c r="F356" s="7">
        <v>6581.5119047619046</v>
      </c>
      <c r="G356" s="7">
        <v>1485.9887393023321</v>
      </c>
      <c r="H356" s="7">
        <v>1234.53401283874</v>
      </c>
    </row>
    <row r="357" spans="1:8" x14ac:dyDescent="0.3">
      <c r="A357" s="7">
        <v>354</v>
      </c>
      <c r="B357" s="7">
        <v>1042.2727118603859</v>
      </c>
      <c r="C357" s="7">
        <v>780.58415230498952</v>
      </c>
      <c r="D357" s="7">
        <v>129</v>
      </c>
      <c r="E357" s="7">
        <v>146</v>
      </c>
      <c r="F357" s="7">
        <v>8747.0872727272726</v>
      </c>
      <c r="G357" s="7">
        <v>2699.0741881000999</v>
      </c>
      <c r="H357" s="7">
        <v>2555.2820582589852</v>
      </c>
    </row>
    <row r="358" spans="1:8" x14ac:dyDescent="0.3">
      <c r="A358" s="7">
        <v>355</v>
      </c>
      <c r="B358" s="7">
        <v>1362.439803862798</v>
      </c>
      <c r="C358" s="7">
        <v>845.21848884488088</v>
      </c>
      <c r="D358" s="7">
        <v>131</v>
      </c>
      <c r="E358" s="7">
        <v>146</v>
      </c>
      <c r="F358" s="7">
        <v>9101.0433212996395</v>
      </c>
      <c r="G358" s="7">
        <v>2615.7880061522128</v>
      </c>
      <c r="H358" s="7">
        <v>2149.673974962282</v>
      </c>
    </row>
    <row r="359" spans="1:8" x14ac:dyDescent="0.3">
      <c r="A359" s="7">
        <v>356</v>
      </c>
      <c r="B359" s="7">
        <v>1101.2768167513441</v>
      </c>
      <c r="C359" s="7">
        <v>658.80365935674502</v>
      </c>
      <c r="D359" s="7">
        <v>128</v>
      </c>
      <c r="E359" s="7">
        <v>146</v>
      </c>
      <c r="F359" s="7">
        <v>6293.1313868613142</v>
      </c>
      <c r="G359" s="7">
        <v>1858.770628668314</v>
      </c>
      <c r="H359" s="7">
        <v>1453.624838544278</v>
      </c>
    </row>
    <row r="360" spans="1:8" x14ac:dyDescent="0.3">
      <c r="A360" s="7">
        <v>357</v>
      </c>
      <c r="B360" s="7">
        <v>961.23658727914824</v>
      </c>
      <c r="C360" s="7">
        <v>584.73229993207565</v>
      </c>
      <c r="D360" s="7">
        <v>131</v>
      </c>
      <c r="E360" s="7">
        <v>146</v>
      </c>
      <c r="F360" s="7">
        <v>7944.4332129963896</v>
      </c>
      <c r="G360" s="7">
        <v>2456.315604954917</v>
      </c>
      <c r="H360" s="7">
        <v>2168.8247543470388</v>
      </c>
    </row>
    <row r="361" spans="1:8" x14ac:dyDescent="0.3">
      <c r="A361" s="7">
        <v>358</v>
      </c>
      <c r="B361" s="7">
        <v>1311.615208352946</v>
      </c>
      <c r="C361" s="7">
        <v>768.01605694694365</v>
      </c>
      <c r="D361" s="7">
        <v>129</v>
      </c>
      <c r="E361" s="7">
        <v>146</v>
      </c>
      <c r="F361" s="7">
        <v>10594.26181818182</v>
      </c>
      <c r="G361" s="7">
        <v>3546.0352814170169</v>
      </c>
      <c r="H361" s="7">
        <v>3108.456472887407</v>
      </c>
    </row>
    <row r="362" spans="1:8" x14ac:dyDescent="0.3">
      <c r="A362" s="7">
        <v>359</v>
      </c>
      <c r="B362" s="7">
        <v>1039.56448714563</v>
      </c>
      <c r="C362" s="7">
        <v>629.3365464230601</v>
      </c>
      <c r="D362" s="7">
        <v>129</v>
      </c>
      <c r="E362" s="7">
        <v>146</v>
      </c>
      <c r="F362" s="7">
        <v>6838.1381818181817</v>
      </c>
      <c r="G362" s="7">
        <v>1948.48187973584</v>
      </c>
      <c r="H362" s="7">
        <v>1697.5511875188261</v>
      </c>
    </row>
    <row r="363" spans="1:8" x14ac:dyDescent="0.3">
      <c r="A363" s="7">
        <v>360</v>
      </c>
      <c r="B363" s="7">
        <v>949.87555601787312</v>
      </c>
      <c r="C363" s="7">
        <v>548.84389025016992</v>
      </c>
      <c r="D363" s="7">
        <v>131</v>
      </c>
      <c r="E363" s="7">
        <v>146</v>
      </c>
      <c r="F363" s="7">
        <v>6960.194945848375</v>
      </c>
      <c r="G363" s="7">
        <v>2031.133658559007</v>
      </c>
      <c r="H363" s="7">
        <v>1789.3537767462769</v>
      </c>
    </row>
    <row r="364" spans="1:8" x14ac:dyDescent="0.3">
      <c r="A364" s="7">
        <v>361</v>
      </c>
      <c r="B364" s="7">
        <v>1050.328221352609</v>
      </c>
      <c r="C364" s="7">
        <v>690.5193026780064</v>
      </c>
      <c r="D364" s="7">
        <v>130</v>
      </c>
      <c r="E364" s="7">
        <v>146</v>
      </c>
      <c r="F364" s="7">
        <v>6329.797101449275</v>
      </c>
      <c r="G364" s="7">
        <v>2617.5951441087182</v>
      </c>
      <c r="H364" s="7">
        <v>2279.3066026844872</v>
      </c>
    </row>
    <row r="365" spans="1:8" x14ac:dyDescent="0.3">
      <c r="A365" s="7">
        <v>362</v>
      </c>
      <c r="B365" s="7">
        <v>1088.4876235729071</v>
      </c>
      <c r="C365" s="7">
        <v>749.57954092106024</v>
      </c>
      <c r="D365" s="7">
        <v>129</v>
      </c>
      <c r="E365" s="7">
        <v>146</v>
      </c>
      <c r="F365" s="7">
        <v>9766.6436363636367</v>
      </c>
      <c r="G365" s="7">
        <v>2874.4406574189802</v>
      </c>
      <c r="H365" s="7">
        <v>2621.248036169658</v>
      </c>
    </row>
    <row r="366" spans="1:8" x14ac:dyDescent="0.3">
      <c r="A366" s="7">
        <v>363</v>
      </c>
      <c r="B366" s="7">
        <v>909.47704695175389</v>
      </c>
      <c r="C366" s="7">
        <v>666.01201947367929</v>
      </c>
      <c r="D366" s="7">
        <v>131</v>
      </c>
      <c r="E366" s="7">
        <v>146</v>
      </c>
      <c r="F366" s="7">
        <v>7258.1768953068586</v>
      </c>
      <c r="G366" s="7">
        <v>1962.7678307053809</v>
      </c>
      <c r="H366" s="7">
        <v>1596.2888467291191</v>
      </c>
    </row>
    <row r="367" spans="1:8" x14ac:dyDescent="0.3">
      <c r="A367" s="7">
        <v>364</v>
      </c>
      <c r="B367" s="7">
        <v>605.51793865724619</v>
      </c>
      <c r="C367" s="7">
        <v>486.57830001655242</v>
      </c>
      <c r="D367" s="7">
        <v>129</v>
      </c>
      <c r="E367" s="7">
        <v>146</v>
      </c>
      <c r="F367" s="7">
        <v>4836.1454545454544</v>
      </c>
      <c r="G367" s="7">
        <v>1259.7888958137009</v>
      </c>
      <c r="H367" s="7">
        <v>1106.998988379833</v>
      </c>
    </row>
    <row r="368" spans="1:8" x14ac:dyDescent="0.3">
      <c r="A368" s="7">
        <v>365</v>
      </c>
      <c r="B368" s="7">
        <v>2097.2409114466468</v>
      </c>
      <c r="C368" s="7">
        <v>823.54649805051747</v>
      </c>
      <c r="D368" s="7">
        <v>128</v>
      </c>
      <c r="E368" s="7">
        <v>146</v>
      </c>
      <c r="F368" s="7">
        <v>5578.3941605839418</v>
      </c>
      <c r="G368" s="7">
        <v>2019.2778392750961</v>
      </c>
      <c r="H368" s="7">
        <v>1803.4243701647461</v>
      </c>
    </row>
    <row r="369" spans="1:8" x14ac:dyDescent="0.3">
      <c r="A369" s="7">
        <v>366</v>
      </c>
      <c r="B369" s="7">
        <v>1131.781289840246</v>
      </c>
      <c r="C369" s="7">
        <v>630.06659992634968</v>
      </c>
      <c r="D369" s="7">
        <v>130</v>
      </c>
      <c r="E369" s="7">
        <v>146</v>
      </c>
      <c r="F369" s="7">
        <v>6191.11231884058</v>
      </c>
      <c r="G369" s="7">
        <v>2425.7010945291672</v>
      </c>
      <c r="H369" s="7">
        <v>2072.0128639125719</v>
      </c>
    </row>
    <row r="370" spans="1:8" x14ac:dyDescent="0.3">
      <c r="A370" s="7">
        <v>367</v>
      </c>
      <c r="B370" s="7">
        <v>749.54381126025919</v>
      </c>
      <c r="C370" s="7">
        <v>486.28731970932921</v>
      </c>
      <c r="D370" s="7">
        <v>131</v>
      </c>
      <c r="E370" s="7">
        <v>146</v>
      </c>
      <c r="F370" s="7">
        <v>5495.743682310469</v>
      </c>
      <c r="G370" s="7">
        <v>1971.75844524937</v>
      </c>
      <c r="H370" s="7">
        <v>1808.8671377184689</v>
      </c>
    </row>
    <row r="371" spans="1:8" x14ac:dyDescent="0.3">
      <c r="A371" s="7">
        <v>368</v>
      </c>
      <c r="B371" s="7">
        <v>1839.54719363</v>
      </c>
      <c r="C371" s="7">
        <v>986.74682276832152</v>
      </c>
      <c r="D371" s="7">
        <v>128</v>
      </c>
      <c r="E371" s="7">
        <v>146</v>
      </c>
      <c r="F371" s="7">
        <v>10296.4598540146</v>
      </c>
      <c r="G371" s="7">
        <v>4823.9580173468548</v>
      </c>
      <c r="H371" s="7">
        <v>4044.585513925012</v>
      </c>
    </row>
    <row r="372" spans="1:8" x14ac:dyDescent="0.3">
      <c r="A372" s="7">
        <v>369</v>
      </c>
      <c r="B372" s="7">
        <v>823.64036930552061</v>
      </c>
      <c r="C372" s="7">
        <v>568.71003721607997</v>
      </c>
      <c r="D372" s="7">
        <v>129</v>
      </c>
      <c r="E372" s="7">
        <v>146</v>
      </c>
      <c r="F372" s="7">
        <v>6447.6290909090912</v>
      </c>
      <c r="G372" s="7">
        <v>1899.879153643624</v>
      </c>
      <c r="H372" s="7">
        <v>1650.828876489642</v>
      </c>
    </row>
    <row r="373" spans="1:8" x14ac:dyDescent="0.3">
      <c r="A373" s="7">
        <v>370</v>
      </c>
      <c r="B373" s="7">
        <v>1084.5699911542431</v>
      </c>
      <c r="C373" s="7">
        <v>576.71033954663392</v>
      </c>
      <c r="D373" s="7">
        <v>129</v>
      </c>
      <c r="E373" s="7">
        <v>146</v>
      </c>
      <c r="F373" s="7">
        <v>7769.494545454545</v>
      </c>
      <c r="G373" s="7">
        <v>2571.7829260271269</v>
      </c>
      <c r="H373" s="7">
        <v>2207.2186908675521</v>
      </c>
    </row>
    <row r="374" spans="1:8" x14ac:dyDescent="0.3">
      <c r="A374" s="7">
        <v>371</v>
      </c>
      <c r="B374" s="7">
        <v>1102.884870767205</v>
      </c>
      <c r="C374" s="7">
        <v>722.78693702348949</v>
      </c>
      <c r="D374" s="7">
        <v>129</v>
      </c>
      <c r="E374" s="7">
        <v>146</v>
      </c>
      <c r="F374" s="7">
        <v>6884.2690909090907</v>
      </c>
      <c r="G374" s="7">
        <v>2745.401899385095</v>
      </c>
      <c r="H374" s="7">
        <v>2401.354510750416</v>
      </c>
    </row>
    <row r="375" spans="1:8" x14ac:dyDescent="0.3">
      <c r="A375" s="7">
        <v>372</v>
      </c>
      <c r="B375" s="7">
        <v>1224.038609168668</v>
      </c>
      <c r="C375" s="7">
        <v>633.07131779159806</v>
      </c>
      <c r="D375" s="7">
        <v>129</v>
      </c>
      <c r="E375" s="7">
        <v>146</v>
      </c>
      <c r="F375" s="7">
        <v>9343.4218181818178</v>
      </c>
      <c r="G375" s="7">
        <v>3272.4091177767682</v>
      </c>
      <c r="H375" s="7">
        <v>2803.5413576110509</v>
      </c>
    </row>
    <row r="376" spans="1:8" x14ac:dyDescent="0.3">
      <c r="A376" s="7">
        <v>373</v>
      </c>
      <c r="B376" s="7">
        <v>1018.430781643131</v>
      </c>
      <c r="C376" s="7">
        <v>578.64996901963514</v>
      </c>
      <c r="D376" s="7">
        <v>128</v>
      </c>
      <c r="E376" s="7">
        <v>146</v>
      </c>
      <c r="F376" s="7">
        <v>4726.1313868613142</v>
      </c>
      <c r="G376" s="7">
        <v>1451.5086763433419</v>
      </c>
      <c r="H376" s="7">
        <v>1290.3011196817799</v>
      </c>
    </row>
    <row r="377" spans="1:8" x14ac:dyDescent="0.3">
      <c r="A377" s="7">
        <v>374</v>
      </c>
      <c r="B377" s="7">
        <v>874.71505428032731</v>
      </c>
      <c r="C377" s="7">
        <v>682.87472611964972</v>
      </c>
      <c r="D377" s="7">
        <v>131</v>
      </c>
      <c r="E377" s="7">
        <v>146</v>
      </c>
      <c r="F377" s="7">
        <v>7294.9494584837548</v>
      </c>
      <c r="G377" s="7">
        <v>1787.4678943361309</v>
      </c>
      <c r="H377" s="7">
        <v>1522.0075468284449</v>
      </c>
    </row>
    <row r="378" spans="1:8" x14ac:dyDescent="0.3">
      <c r="A378" s="7">
        <v>375</v>
      </c>
      <c r="B378" s="7">
        <v>1325.316596064991</v>
      </c>
      <c r="C378" s="7">
        <v>841.23120287068934</v>
      </c>
      <c r="D378" s="7">
        <v>130</v>
      </c>
      <c r="E378" s="7">
        <v>146</v>
      </c>
      <c r="F378" s="7">
        <v>9266.213768115942</v>
      </c>
      <c r="G378" s="7">
        <v>4040.520837523492</v>
      </c>
      <c r="H378" s="7">
        <v>3479.4568964883802</v>
      </c>
    </row>
    <row r="379" spans="1:8" x14ac:dyDescent="0.3">
      <c r="A379" s="7">
        <v>376</v>
      </c>
      <c r="B379" s="7">
        <v>905.67449616529132</v>
      </c>
      <c r="C379" s="7">
        <v>667.62281055040262</v>
      </c>
      <c r="D379" s="7">
        <v>131</v>
      </c>
      <c r="E379" s="7">
        <v>146</v>
      </c>
      <c r="F379" s="7">
        <v>8527.2527075812268</v>
      </c>
      <c r="G379" s="7">
        <v>2821.5785888088299</v>
      </c>
      <c r="H379" s="7">
        <v>2637.5351026684398</v>
      </c>
    </row>
    <row r="380" spans="1:8" x14ac:dyDescent="0.3">
      <c r="A380" s="7">
        <v>377</v>
      </c>
      <c r="B380" s="7">
        <v>1306.6264010068969</v>
      </c>
      <c r="C380" s="7">
        <v>855.52272073172867</v>
      </c>
      <c r="D380" s="7">
        <v>131</v>
      </c>
      <c r="E380" s="7">
        <v>146</v>
      </c>
      <c r="F380" s="7">
        <v>8209.6534296028876</v>
      </c>
      <c r="G380" s="7">
        <v>2635.7640475778212</v>
      </c>
      <c r="H380" s="7">
        <v>2307.144567380753</v>
      </c>
    </row>
    <row r="381" spans="1:8" x14ac:dyDescent="0.3">
      <c r="A381" s="7">
        <v>378</v>
      </c>
      <c r="B381" s="7">
        <v>940.9195537494852</v>
      </c>
      <c r="C381" s="7">
        <v>669.74582500518272</v>
      </c>
      <c r="D381" s="7">
        <v>129</v>
      </c>
      <c r="E381" s="7">
        <v>146</v>
      </c>
      <c r="F381" s="7">
        <v>6922.4909090909086</v>
      </c>
      <c r="G381" s="7">
        <v>2104.7798702775499</v>
      </c>
      <c r="H381" s="7">
        <v>1786.633133033974</v>
      </c>
    </row>
    <row r="382" spans="1:8" x14ac:dyDescent="0.3">
      <c r="A382" s="7">
        <v>379</v>
      </c>
      <c r="B382" s="7">
        <v>615.27822144372351</v>
      </c>
      <c r="C382" s="7">
        <v>359.36312952624212</v>
      </c>
      <c r="D382" s="7">
        <v>131</v>
      </c>
      <c r="E382" s="7">
        <v>146</v>
      </c>
      <c r="F382" s="7">
        <v>4069.7509025270761</v>
      </c>
      <c r="G382" s="7">
        <v>1296.276249301751</v>
      </c>
      <c r="H382" s="7">
        <v>1117.7053395360499</v>
      </c>
    </row>
    <row r="383" spans="1:8" x14ac:dyDescent="0.3">
      <c r="A383" s="7">
        <v>380</v>
      </c>
      <c r="B383" s="7">
        <v>1845.985036079534</v>
      </c>
      <c r="C383" s="7">
        <v>1077.431147672803</v>
      </c>
      <c r="D383" s="7">
        <v>129</v>
      </c>
      <c r="E383" s="7">
        <v>146</v>
      </c>
      <c r="F383" s="7">
        <v>14318.64</v>
      </c>
      <c r="G383" s="7">
        <v>4363.9603279803141</v>
      </c>
      <c r="H383" s="7">
        <v>3828.10305682836</v>
      </c>
    </row>
    <row r="384" spans="1:8" x14ac:dyDescent="0.3">
      <c r="A384" s="7">
        <v>381</v>
      </c>
      <c r="B384" s="7">
        <v>1016.584261264346</v>
      </c>
      <c r="C384" s="7">
        <v>981.0278978430357</v>
      </c>
      <c r="D384" s="7">
        <v>130</v>
      </c>
      <c r="E384" s="7">
        <v>146</v>
      </c>
      <c r="F384" s="7">
        <v>9266.402173913044</v>
      </c>
      <c r="G384" s="7">
        <v>2256.5488796287682</v>
      </c>
      <c r="H384" s="7">
        <v>1866.921488029358</v>
      </c>
    </row>
    <row r="385" spans="1:8" x14ac:dyDescent="0.3">
      <c r="A385" s="7">
        <v>382</v>
      </c>
      <c r="B385" s="7">
        <v>1277.568484819541</v>
      </c>
      <c r="C385" s="7">
        <v>757.87305740396084</v>
      </c>
      <c r="D385" s="7">
        <v>130</v>
      </c>
      <c r="E385" s="7">
        <v>146</v>
      </c>
      <c r="F385" s="7">
        <v>7992.072463768116</v>
      </c>
      <c r="G385" s="7">
        <v>3149.239295204723</v>
      </c>
      <c r="H385" s="7">
        <v>2829.5791581662402</v>
      </c>
    </row>
    <row r="386" spans="1:8" x14ac:dyDescent="0.3">
      <c r="A386" s="7">
        <v>383</v>
      </c>
      <c r="B386" s="7">
        <v>1705.5066079215351</v>
      </c>
      <c r="C386" s="7">
        <v>1079.759733662718</v>
      </c>
      <c r="D386" s="7">
        <v>127</v>
      </c>
      <c r="E386" s="7">
        <v>146</v>
      </c>
      <c r="F386" s="7">
        <v>17159.90842490843</v>
      </c>
      <c r="G386" s="7">
        <v>4298.3086199255149</v>
      </c>
      <c r="H386" s="7">
        <v>3409.1436798904479</v>
      </c>
    </row>
    <row r="387" spans="1:8" x14ac:dyDescent="0.3">
      <c r="A387" s="7">
        <v>384</v>
      </c>
      <c r="B387" s="7">
        <v>1349.9327047515239</v>
      </c>
      <c r="C387" s="7">
        <v>888.16905649710066</v>
      </c>
      <c r="D387" s="7">
        <v>131</v>
      </c>
      <c r="E387" s="7">
        <v>146</v>
      </c>
      <c r="F387" s="7">
        <v>9455.6498194945852</v>
      </c>
      <c r="G387" s="7">
        <v>3170.1135036389778</v>
      </c>
      <c r="H387" s="7">
        <v>2738.825702016723</v>
      </c>
    </row>
    <row r="388" spans="1:8" x14ac:dyDescent="0.3">
      <c r="A388" s="7">
        <v>385</v>
      </c>
      <c r="B388" s="7">
        <v>1531.572742620825</v>
      </c>
      <c r="C388" s="7">
        <v>944.22048520987187</v>
      </c>
      <c r="D388" s="7">
        <v>128</v>
      </c>
      <c r="E388" s="7">
        <v>146</v>
      </c>
      <c r="F388" s="7">
        <v>7565.3284671532847</v>
      </c>
      <c r="G388" s="7">
        <v>2684.7675935264861</v>
      </c>
      <c r="H388" s="7">
        <v>2748.264119627675</v>
      </c>
    </row>
    <row r="389" spans="1:8" x14ac:dyDescent="0.3">
      <c r="A389" s="7">
        <v>386</v>
      </c>
      <c r="B389" s="7">
        <v>1168.8678320042759</v>
      </c>
      <c r="C389" s="7">
        <v>681.7215103565062</v>
      </c>
      <c r="D389" s="7">
        <v>129</v>
      </c>
      <c r="E389" s="7">
        <v>146</v>
      </c>
      <c r="F389" s="7">
        <v>7027.2581818181816</v>
      </c>
      <c r="G389" s="7">
        <v>2643.445229652119</v>
      </c>
      <c r="H389" s="7">
        <v>2270.3498915667128</v>
      </c>
    </row>
    <row r="390" spans="1:8" x14ac:dyDescent="0.3">
      <c r="A390" s="7">
        <v>387</v>
      </c>
      <c r="B390" s="7">
        <v>1223.891545468661</v>
      </c>
      <c r="C390" s="7">
        <v>980.91837205538172</v>
      </c>
      <c r="D390" s="7">
        <v>127</v>
      </c>
      <c r="E390" s="7">
        <v>146</v>
      </c>
      <c r="F390" s="7">
        <v>9296.4761904761908</v>
      </c>
      <c r="G390" s="7">
        <v>3592.1166692292072</v>
      </c>
      <c r="H390" s="7">
        <v>3119.987341913205</v>
      </c>
    </row>
    <row r="391" spans="1:8" x14ac:dyDescent="0.3">
      <c r="A391" s="7">
        <v>388</v>
      </c>
      <c r="B391" s="7">
        <v>1154.0407170056289</v>
      </c>
      <c r="C391" s="7">
        <v>599.0922742345092</v>
      </c>
      <c r="D391" s="7">
        <v>129</v>
      </c>
      <c r="E391" s="7">
        <v>146</v>
      </c>
      <c r="F391" s="7">
        <v>10675.72363636364</v>
      </c>
      <c r="G391" s="7">
        <v>3234.7236561695572</v>
      </c>
      <c r="H391" s="7">
        <v>2826.1452897241738</v>
      </c>
    </row>
    <row r="392" spans="1:8" x14ac:dyDescent="0.3">
      <c r="A392" s="7">
        <v>389</v>
      </c>
      <c r="B392" s="7">
        <v>1261.097257718337</v>
      </c>
      <c r="C392" s="7">
        <v>946.5733441370304</v>
      </c>
      <c r="D392" s="7">
        <v>131</v>
      </c>
      <c r="E392" s="7">
        <v>146</v>
      </c>
      <c r="F392" s="7">
        <v>11106.58483754513</v>
      </c>
      <c r="G392" s="7">
        <v>2722.5014934209662</v>
      </c>
      <c r="H392" s="7">
        <v>2332.1021867810682</v>
      </c>
    </row>
    <row r="393" spans="1:8" x14ac:dyDescent="0.3">
      <c r="A393" s="7">
        <v>390</v>
      </c>
      <c r="B393" s="7">
        <v>1579.564147072595</v>
      </c>
      <c r="C393" s="7">
        <v>913.55970893703739</v>
      </c>
      <c r="D393" s="7">
        <v>131</v>
      </c>
      <c r="E393" s="7">
        <v>146</v>
      </c>
      <c r="F393" s="7">
        <v>12075.16967509025</v>
      </c>
      <c r="G393" s="7">
        <v>3688.4596311172609</v>
      </c>
      <c r="H393" s="7">
        <v>3258.8355523920268</v>
      </c>
    </row>
    <row r="394" spans="1:8" x14ac:dyDescent="0.3">
      <c r="A394" s="7">
        <v>391</v>
      </c>
      <c r="B394" s="7">
        <v>836.1424036928338</v>
      </c>
      <c r="C394" s="7">
        <v>537.42693359159091</v>
      </c>
      <c r="D394" s="7">
        <v>129</v>
      </c>
      <c r="E394" s="7">
        <v>146</v>
      </c>
      <c r="F394" s="7">
        <v>5682.5818181818186</v>
      </c>
      <c r="G394" s="7">
        <v>2082.235934847944</v>
      </c>
      <c r="H394" s="7">
        <v>1699.68576467244</v>
      </c>
    </row>
    <row r="395" spans="1:8" x14ac:dyDescent="0.3">
      <c r="A395" s="7">
        <v>392</v>
      </c>
      <c r="B395" s="7">
        <v>1062.244386089583</v>
      </c>
      <c r="C395" s="7">
        <v>645.02255223188388</v>
      </c>
      <c r="D395" s="7">
        <v>129</v>
      </c>
      <c r="E395" s="7">
        <v>146</v>
      </c>
      <c r="F395" s="7">
        <v>7625.505454545455</v>
      </c>
      <c r="G395" s="7">
        <v>2264.3947186523078</v>
      </c>
      <c r="H395" s="7">
        <v>2057.0181920599912</v>
      </c>
    </row>
    <row r="396" spans="1:8" x14ac:dyDescent="0.3">
      <c r="A396" s="7">
        <v>393</v>
      </c>
      <c r="B396" s="7">
        <v>1057.9724122675721</v>
      </c>
      <c r="C396" s="7">
        <v>531.68324330101666</v>
      </c>
      <c r="D396" s="7">
        <v>129</v>
      </c>
      <c r="E396" s="7">
        <v>146</v>
      </c>
      <c r="F396" s="7">
        <v>5897.1781818181817</v>
      </c>
      <c r="G396" s="7">
        <v>2254.3859886999189</v>
      </c>
      <c r="H396" s="7">
        <v>1834.32427370296</v>
      </c>
    </row>
    <row r="397" spans="1:8" x14ac:dyDescent="0.3">
      <c r="A397" s="7">
        <v>394</v>
      </c>
      <c r="B397" s="7">
        <v>1098.999994729556</v>
      </c>
      <c r="C397" s="7">
        <v>1005.479528966716</v>
      </c>
      <c r="D397" s="7">
        <v>129</v>
      </c>
      <c r="E397" s="7">
        <v>146</v>
      </c>
      <c r="F397" s="7">
        <v>8771.6472727272721</v>
      </c>
      <c r="G397" s="7">
        <v>3084.3639978637129</v>
      </c>
      <c r="H397" s="7">
        <v>2833.6708415686121</v>
      </c>
    </row>
    <row r="398" spans="1:8" x14ac:dyDescent="0.3">
      <c r="A398" s="7">
        <v>395</v>
      </c>
      <c r="B398" s="7">
        <v>682.46722255117527</v>
      </c>
      <c r="C398" s="7">
        <v>424.89844896514268</v>
      </c>
      <c r="D398" s="7">
        <v>129</v>
      </c>
      <c r="E398" s="7">
        <v>146</v>
      </c>
      <c r="F398" s="7">
        <v>4078.3563636363642</v>
      </c>
      <c r="G398" s="7">
        <v>1180.244837298173</v>
      </c>
      <c r="H398" s="7">
        <v>911.32948570034171</v>
      </c>
    </row>
    <row r="399" spans="1:8" x14ac:dyDescent="0.3">
      <c r="A399" s="7">
        <v>396</v>
      </c>
      <c r="B399" s="7">
        <v>1472.1682316405249</v>
      </c>
      <c r="C399" s="7">
        <v>1018.12083015467</v>
      </c>
      <c r="D399" s="7">
        <v>130</v>
      </c>
      <c r="E399" s="7">
        <v>146</v>
      </c>
      <c r="F399" s="7">
        <v>10378.72826086957</v>
      </c>
      <c r="G399" s="7">
        <v>3652.7497713787752</v>
      </c>
      <c r="H399" s="7">
        <v>3080.2910343284739</v>
      </c>
    </row>
    <row r="400" spans="1:8" x14ac:dyDescent="0.3">
      <c r="A400" s="7">
        <v>397</v>
      </c>
      <c r="B400" s="7">
        <v>793.19387513502068</v>
      </c>
      <c r="C400" s="7">
        <v>502.80482476344127</v>
      </c>
      <c r="D400" s="7">
        <v>129</v>
      </c>
      <c r="E400" s="7">
        <v>146</v>
      </c>
      <c r="F400" s="7">
        <v>6068.9454545454546</v>
      </c>
      <c r="G400" s="7">
        <v>2262.2599834144039</v>
      </c>
      <c r="H400" s="7">
        <v>1977.3985851071</v>
      </c>
    </row>
    <row r="401" spans="1:8" x14ac:dyDescent="0.3">
      <c r="A401" s="7">
        <v>398</v>
      </c>
      <c r="B401" s="7">
        <v>916.89819348473213</v>
      </c>
      <c r="C401" s="7">
        <v>640.48619246087196</v>
      </c>
      <c r="D401" s="7">
        <v>131</v>
      </c>
      <c r="E401" s="7">
        <v>146</v>
      </c>
      <c r="F401" s="7">
        <v>5620.9133574007219</v>
      </c>
      <c r="G401" s="7">
        <v>2108.848649371073</v>
      </c>
      <c r="H401" s="7">
        <v>1961.4075774635689</v>
      </c>
    </row>
    <row r="402" spans="1:8" x14ac:dyDescent="0.3">
      <c r="A402" s="7">
        <v>399</v>
      </c>
      <c r="B402" s="7">
        <v>1953.849402719439</v>
      </c>
      <c r="C402" s="7">
        <v>903.83237203350848</v>
      </c>
      <c r="D402" s="7">
        <v>128</v>
      </c>
      <c r="E402" s="7">
        <v>146</v>
      </c>
      <c r="F402" s="7">
        <v>5993.5109489051092</v>
      </c>
      <c r="G402" s="7">
        <v>1795.652843066415</v>
      </c>
      <c r="H402" s="7">
        <v>1687.1821080587081</v>
      </c>
    </row>
    <row r="403" spans="1:8" x14ac:dyDescent="0.3">
      <c r="A403" s="7">
        <v>400</v>
      </c>
      <c r="B403" s="7">
        <v>896.09527546507013</v>
      </c>
      <c r="C403" s="7">
        <v>680.11704401197892</v>
      </c>
      <c r="D403" s="7">
        <v>131</v>
      </c>
      <c r="E403" s="7">
        <v>146</v>
      </c>
      <c r="F403" s="7">
        <v>9142.1877256317694</v>
      </c>
      <c r="G403" s="7">
        <v>3118.3497507397929</v>
      </c>
      <c r="H403" s="7">
        <v>2824.175549473965</v>
      </c>
    </row>
    <row r="404" spans="1:8" x14ac:dyDescent="0.3">
      <c r="A404" s="7">
        <v>401</v>
      </c>
      <c r="B404" s="7">
        <v>1235.8036468188959</v>
      </c>
      <c r="C404" s="7">
        <v>726.62616073739434</v>
      </c>
      <c r="D404" s="7">
        <v>131</v>
      </c>
      <c r="E404" s="7">
        <v>146</v>
      </c>
      <c r="F404" s="7">
        <v>7476.7003610108304</v>
      </c>
      <c r="G404" s="7">
        <v>2733.5315258934611</v>
      </c>
      <c r="H404" s="7">
        <v>2314.8089790712838</v>
      </c>
    </row>
    <row r="405" spans="1:8" x14ac:dyDescent="0.3">
      <c r="A405" s="7">
        <v>402</v>
      </c>
      <c r="B405" s="7">
        <v>930.40232359836784</v>
      </c>
      <c r="C405" s="7">
        <v>733.68591389286826</v>
      </c>
      <c r="D405" s="7">
        <v>130</v>
      </c>
      <c r="E405" s="7">
        <v>146</v>
      </c>
      <c r="F405" s="7">
        <v>5812.670289855072</v>
      </c>
      <c r="G405" s="7">
        <v>2080.0097392523471</v>
      </c>
      <c r="H405" s="7">
        <v>1940.6945656800999</v>
      </c>
    </row>
    <row r="406" spans="1:8" x14ac:dyDescent="0.3">
      <c r="A406" s="7">
        <v>403</v>
      </c>
      <c r="B406" s="7">
        <v>1083.8442903560101</v>
      </c>
      <c r="C406" s="7">
        <v>770.96425424925962</v>
      </c>
      <c r="D406" s="7">
        <v>129</v>
      </c>
      <c r="E406" s="7">
        <v>146</v>
      </c>
      <c r="F406" s="7">
        <v>7597.9127272727274</v>
      </c>
      <c r="G406" s="7">
        <v>1950.7091038265901</v>
      </c>
      <c r="H406" s="7">
        <v>1559.553193829425</v>
      </c>
    </row>
    <row r="407" spans="1:8" x14ac:dyDescent="0.3">
      <c r="A407" s="7">
        <v>404</v>
      </c>
      <c r="B407" s="7">
        <v>640.59572418295215</v>
      </c>
      <c r="C407" s="7">
        <v>478.87913626094092</v>
      </c>
      <c r="D407" s="7">
        <v>128</v>
      </c>
      <c r="E407" s="7">
        <v>146</v>
      </c>
      <c r="F407" s="7">
        <v>5125.7080291970806</v>
      </c>
      <c r="G407" s="7">
        <v>1592.989499926161</v>
      </c>
      <c r="H407" s="7">
        <v>1300.736177224162</v>
      </c>
    </row>
    <row r="408" spans="1:8" x14ac:dyDescent="0.3">
      <c r="A408" s="7">
        <v>405</v>
      </c>
      <c r="B408" s="7">
        <v>646.88912372214156</v>
      </c>
      <c r="C408" s="7">
        <v>469.70894888407588</v>
      </c>
      <c r="D408" s="7">
        <v>129</v>
      </c>
      <c r="E408" s="7">
        <v>146</v>
      </c>
      <c r="F408" s="7">
        <v>4593.0654545454536</v>
      </c>
      <c r="G408" s="7">
        <v>2050.0516669609328</v>
      </c>
      <c r="H408" s="7">
        <v>1849.4985084818841</v>
      </c>
    </row>
    <row r="409" spans="1:8" x14ac:dyDescent="0.3">
      <c r="A409" s="7">
        <v>406</v>
      </c>
      <c r="B409" s="7">
        <v>985.71873414583604</v>
      </c>
      <c r="C409" s="7">
        <v>683.76074940813226</v>
      </c>
      <c r="D409" s="7">
        <v>129</v>
      </c>
      <c r="E409" s="7">
        <v>146</v>
      </c>
      <c r="F409" s="7">
        <v>7156.8945454545456</v>
      </c>
      <c r="G409" s="7">
        <v>2310.5998650640722</v>
      </c>
      <c r="H409" s="7">
        <v>2012.980020179991</v>
      </c>
    </row>
    <row r="410" spans="1:8" x14ac:dyDescent="0.3">
      <c r="A410" s="7">
        <v>407</v>
      </c>
      <c r="B410" s="7">
        <v>2385.4824622832139</v>
      </c>
      <c r="C410" s="7">
        <v>863.77020065176612</v>
      </c>
      <c r="D410" s="7">
        <v>128</v>
      </c>
      <c r="E410" s="7">
        <v>146</v>
      </c>
      <c r="F410" s="7">
        <v>4169.4416058394163</v>
      </c>
      <c r="G410" s="7">
        <v>1223.277414494562</v>
      </c>
      <c r="H410" s="7">
        <v>1105.9071371007651</v>
      </c>
    </row>
    <row r="411" spans="1:8" x14ac:dyDescent="0.3">
      <c r="A411" s="7">
        <v>408</v>
      </c>
      <c r="B411" s="7">
        <v>693.22546426527276</v>
      </c>
      <c r="C411" s="7">
        <v>492.39320687879149</v>
      </c>
      <c r="D411" s="7">
        <v>128</v>
      </c>
      <c r="E411" s="7">
        <v>146</v>
      </c>
      <c r="F411" s="7">
        <v>5031.9927007299266</v>
      </c>
      <c r="G411" s="7">
        <v>1708.9061765680699</v>
      </c>
      <c r="H411" s="7">
        <v>1452.3980713062949</v>
      </c>
    </row>
    <row r="412" spans="1:8" x14ac:dyDescent="0.3">
      <c r="A412" s="7">
        <v>409</v>
      </c>
      <c r="B412" s="7">
        <v>868.17813297017847</v>
      </c>
      <c r="C412" s="7">
        <v>656.98210575420342</v>
      </c>
      <c r="D412" s="7">
        <v>129</v>
      </c>
      <c r="E412" s="7">
        <v>146</v>
      </c>
      <c r="F412" s="7">
        <v>6003.272727272727</v>
      </c>
      <c r="G412" s="7">
        <v>1814.1289408290379</v>
      </c>
      <c r="H412" s="7">
        <v>1557.0747775921679</v>
      </c>
    </row>
    <row r="413" spans="1:8" x14ac:dyDescent="0.3">
      <c r="A413" s="7">
        <v>410</v>
      </c>
      <c r="B413" s="7">
        <v>1236.206691235333</v>
      </c>
      <c r="C413" s="7">
        <v>717.25265011236911</v>
      </c>
      <c r="D413" s="7">
        <v>129</v>
      </c>
      <c r="E413" s="7">
        <v>146</v>
      </c>
      <c r="F413" s="7">
        <v>6819.3090909090906</v>
      </c>
      <c r="G413" s="7">
        <v>2782.609785265312</v>
      </c>
      <c r="H413" s="7">
        <v>2350.4192849507708</v>
      </c>
    </row>
    <row r="414" spans="1:8" x14ac:dyDescent="0.3">
      <c r="A414" s="7">
        <v>411</v>
      </c>
      <c r="B414" s="7">
        <v>1278.2617877017649</v>
      </c>
      <c r="C414" s="7">
        <v>734.6302942317667</v>
      </c>
      <c r="D414" s="7">
        <v>129</v>
      </c>
      <c r="E414" s="7">
        <v>146</v>
      </c>
      <c r="F414" s="7">
        <v>9610.56</v>
      </c>
      <c r="G414" s="7">
        <v>3550.5151804367251</v>
      </c>
      <c r="H414" s="7">
        <v>2927.267381350362</v>
      </c>
    </row>
    <row r="415" spans="1:8" x14ac:dyDescent="0.3">
      <c r="A415" s="7">
        <v>412</v>
      </c>
      <c r="B415" s="7">
        <v>1866.8982332096641</v>
      </c>
      <c r="C415" s="7">
        <v>1362.720969912355</v>
      </c>
      <c r="D415" s="7">
        <v>128</v>
      </c>
      <c r="E415" s="7">
        <v>146</v>
      </c>
      <c r="F415" s="7">
        <v>9477.5729927007305</v>
      </c>
      <c r="G415" s="7">
        <v>2307.719772172306</v>
      </c>
      <c r="H415" s="7">
        <v>2287.4658407510128</v>
      </c>
    </row>
    <row r="416" spans="1:8" x14ac:dyDescent="0.3">
      <c r="A416" s="7">
        <v>413</v>
      </c>
      <c r="B416" s="7">
        <v>1797.210232048843</v>
      </c>
      <c r="C416" s="7">
        <v>1011.852935221313</v>
      </c>
      <c r="D416" s="7">
        <v>128</v>
      </c>
      <c r="E416" s="7">
        <v>146</v>
      </c>
      <c r="F416" s="7">
        <v>7239.0656934306571</v>
      </c>
      <c r="G416" s="7">
        <v>1807.473681516552</v>
      </c>
      <c r="H416" s="7">
        <v>1697.088810730555</v>
      </c>
    </row>
    <row r="417" spans="1:8" x14ac:dyDescent="0.3">
      <c r="A417" s="7">
        <v>414</v>
      </c>
      <c r="B417" s="7">
        <v>940.6420787703878</v>
      </c>
      <c r="C417" s="7">
        <v>696.13152339896635</v>
      </c>
      <c r="D417" s="7">
        <v>129</v>
      </c>
      <c r="E417" s="7">
        <v>146</v>
      </c>
      <c r="F417" s="7">
        <v>6850.2945454545452</v>
      </c>
      <c r="G417" s="7">
        <v>1856.5247144877651</v>
      </c>
      <c r="H417" s="7">
        <v>1701.179846419247</v>
      </c>
    </row>
    <row r="418" spans="1:8" x14ac:dyDescent="0.3">
      <c r="A418" s="7">
        <v>415</v>
      </c>
      <c r="B418" s="7">
        <v>1709.793806742591</v>
      </c>
      <c r="C418" s="7">
        <v>943.25851523579263</v>
      </c>
      <c r="D418" s="7">
        <v>131</v>
      </c>
      <c r="E418" s="7">
        <v>146</v>
      </c>
      <c r="F418" s="7">
        <v>6507.9855595667868</v>
      </c>
      <c r="G418" s="7">
        <v>2420.569792866424</v>
      </c>
      <c r="H418" s="7">
        <v>2125.7739750854712</v>
      </c>
    </row>
    <row r="419" spans="1:8" x14ac:dyDescent="0.3">
      <c r="A419" s="7">
        <v>416</v>
      </c>
      <c r="B419" s="7">
        <v>1609.787751991666</v>
      </c>
      <c r="C419" s="7">
        <v>905.96550605221637</v>
      </c>
      <c r="D419" s="7">
        <v>131</v>
      </c>
      <c r="E419" s="7">
        <v>146</v>
      </c>
      <c r="F419" s="7">
        <v>11382.375451263541</v>
      </c>
      <c r="G419" s="7">
        <v>3131.0943200774668</v>
      </c>
      <c r="H419" s="7">
        <v>2749.5170248360009</v>
      </c>
    </row>
    <row r="420" spans="1:8" x14ac:dyDescent="0.3">
      <c r="A420" s="7">
        <v>417</v>
      </c>
      <c r="B420" s="7">
        <v>1030.423790048211</v>
      </c>
      <c r="C420" s="7">
        <v>602.04836427294867</v>
      </c>
      <c r="D420" s="7">
        <v>129</v>
      </c>
      <c r="E420" s="7">
        <v>146</v>
      </c>
      <c r="F420" s="7">
        <v>7207.9527272727273</v>
      </c>
      <c r="G420" s="7">
        <v>2456.008249045562</v>
      </c>
      <c r="H420" s="7">
        <v>2154.5516092649768</v>
      </c>
    </row>
    <row r="421" spans="1:8" x14ac:dyDescent="0.3">
      <c r="A421" s="7">
        <v>418</v>
      </c>
      <c r="B421" s="7">
        <v>946.53614241995774</v>
      </c>
      <c r="C421" s="7">
        <v>533.42787189186242</v>
      </c>
      <c r="D421" s="7">
        <v>127</v>
      </c>
      <c r="E421" s="7">
        <v>146</v>
      </c>
      <c r="F421" s="7">
        <v>5452.7655677655684</v>
      </c>
      <c r="G421" s="7">
        <v>2204.572195898591</v>
      </c>
      <c r="H421" s="7">
        <v>1713.687812236587</v>
      </c>
    </row>
    <row r="422" spans="1:8" x14ac:dyDescent="0.3">
      <c r="A422" s="7">
        <v>419</v>
      </c>
      <c r="B422" s="7">
        <v>772.60107915352728</v>
      </c>
      <c r="C422" s="7">
        <v>596.69549673046902</v>
      </c>
      <c r="D422" s="7">
        <v>131</v>
      </c>
      <c r="E422" s="7">
        <v>146</v>
      </c>
      <c r="F422" s="7">
        <v>5500.8700361010833</v>
      </c>
      <c r="G422" s="7">
        <v>1719.153448692894</v>
      </c>
      <c r="H422" s="7">
        <v>1493.499762670182</v>
      </c>
    </row>
    <row r="423" spans="1:8" x14ac:dyDescent="0.3">
      <c r="A423" s="7">
        <v>420</v>
      </c>
      <c r="B423" s="7">
        <v>2495.4553452885871</v>
      </c>
      <c r="C423" s="7">
        <v>990.19048546203783</v>
      </c>
      <c r="D423" s="7">
        <v>128</v>
      </c>
      <c r="E423" s="7">
        <v>146</v>
      </c>
      <c r="F423" s="7">
        <v>5024.0291970802919</v>
      </c>
      <c r="G423" s="7">
        <v>1446.4109028903231</v>
      </c>
      <c r="H423" s="7">
        <v>1343.473687105633</v>
      </c>
    </row>
    <row r="424" spans="1:8" x14ac:dyDescent="0.3">
      <c r="A424" s="7">
        <v>421</v>
      </c>
      <c r="B424" s="7">
        <v>2153.1554037297528</v>
      </c>
      <c r="C424" s="7">
        <v>1428.9253749596039</v>
      </c>
      <c r="D424" s="7">
        <v>131</v>
      </c>
      <c r="E424" s="7">
        <v>146</v>
      </c>
      <c r="F424" s="7">
        <v>9483.7220216606493</v>
      </c>
      <c r="G424" s="7">
        <v>3687.5409626396072</v>
      </c>
      <c r="H424" s="7">
        <v>3071.5154719650282</v>
      </c>
    </row>
    <row r="425" spans="1:8" x14ac:dyDescent="0.3">
      <c r="A425" s="7">
        <v>422</v>
      </c>
      <c r="B425" s="7">
        <v>755.62303975333305</v>
      </c>
      <c r="C425" s="7">
        <v>505.20936650553818</v>
      </c>
      <c r="D425" s="7">
        <v>131</v>
      </c>
      <c r="E425" s="7">
        <v>146</v>
      </c>
      <c r="F425" s="7">
        <v>4540.0938628158847</v>
      </c>
      <c r="G425" s="7">
        <v>1150.7491453048519</v>
      </c>
      <c r="H425" s="7">
        <v>1063.19001123976</v>
      </c>
    </row>
    <row r="426" spans="1:8" x14ac:dyDescent="0.3">
      <c r="A426" s="7">
        <v>423</v>
      </c>
      <c r="B426" s="7">
        <v>1478.751843793975</v>
      </c>
      <c r="C426" s="7">
        <v>1379.1820007232809</v>
      </c>
      <c r="D426" s="7">
        <v>135</v>
      </c>
      <c r="E426" s="7">
        <v>201</v>
      </c>
      <c r="F426" s="7">
        <v>11023.85416666667</v>
      </c>
      <c r="G426" s="7">
        <v>2818.4654479843248</v>
      </c>
      <c r="H426" s="7">
        <v>2488.628021191736</v>
      </c>
    </row>
    <row r="427" spans="1:8" x14ac:dyDescent="0.3">
      <c r="A427" s="7">
        <v>424</v>
      </c>
      <c r="B427" s="7">
        <v>1032.7240544837109</v>
      </c>
      <c r="C427" s="7">
        <v>801.72226603027434</v>
      </c>
      <c r="D427" s="7">
        <v>129</v>
      </c>
      <c r="E427" s="7">
        <v>146</v>
      </c>
      <c r="F427" s="7">
        <v>7725.8218181818183</v>
      </c>
      <c r="G427" s="7">
        <v>2300.0778011782272</v>
      </c>
      <c r="H427" s="7">
        <v>1952.4466649442829</v>
      </c>
    </row>
    <row r="428" spans="1:8" x14ac:dyDescent="0.3">
      <c r="A428" s="7">
        <v>425</v>
      </c>
      <c r="B428" s="7">
        <v>519.08438212584872</v>
      </c>
      <c r="C428" s="7">
        <v>391.79337963797218</v>
      </c>
      <c r="D428" s="7">
        <v>127</v>
      </c>
      <c r="E428" s="7">
        <v>146</v>
      </c>
      <c r="F428" s="7">
        <v>3448.0952380952381</v>
      </c>
      <c r="G428" s="7">
        <v>1025.7210599931079</v>
      </c>
      <c r="H428" s="7">
        <v>893.17191046507708</v>
      </c>
    </row>
    <row r="429" spans="1:8" x14ac:dyDescent="0.3">
      <c r="A429" s="7">
        <v>426</v>
      </c>
      <c r="B429" s="7">
        <v>1029.0756443986929</v>
      </c>
      <c r="C429" s="7">
        <v>475.98533318556292</v>
      </c>
      <c r="D429" s="7">
        <v>129</v>
      </c>
      <c r="E429" s="7">
        <v>146</v>
      </c>
      <c r="F429" s="7">
        <v>5216.2690909090907</v>
      </c>
      <c r="G429" s="7">
        <v>1831.276447278397</v>
      </c>
      <c r="H429" s="7">
        <v>1549.667058806725</v>
      </c>
    </row>
    <row r="430" spans="1:8" x14ac:dyDescent="0.3">
      <c r="A430" s="7">
        <v>427</v>
      </c>
      <c r="B430" s="7">
        <v>2051.419865096831</v>
      </c>
      <c r="C430" s="7">
        <v>990.27377780232564</v>
      </c>
      <c r="D430" s="7">
        <v>128</v>
      </c>
      <c r="E430" s="7">
        <v>146</v>
      </c>
      <c r="F430" s="7">
        <v>7590.729927007299</v>
      </c>
      <c r="G430" s="7">
        <v>3285.5684427793472</v>
      </c>
      <c r="H430" s="7">
        <v>2989.0941771714051</v>
      </c>
    </row>
    <row r="431" spans="1:8" x14ac:dyDescent="0.3">
      <c r="A431" s="7">
        <v>428</v>
      </c>
      <c r="B431" s="7">
        <v>2000.8829355864409</v>
      </c>
      <c r="C431" s="7">
        <v>826.90100111262393</v>
      </c>
      <c r="D431" s="7">
        <v>128</v>
      </c>
      <c r="E431" s="7">
        <v>146</v>
      </c>
      <c r="F431" s="7">
        <v>6148.3357664233581</v>
      </c>
      <c r="G431" s="7">
        <v>1956.6522469833519</v>
      </c>
      <c r="H431" s="7">
        <v>1728.6150822955719</v>
      </c>
    </row>
    <row r="432" spans="1:8" x14ac:dyDescent="0.3">
      <c r="A432" s="7">
        <v>429</v>
      </c>
      <c r="B432" s="7">
        <v>2246.9091940278531</v>
      </c>
      <c r="C432" s="7">
        <v>973.90287877937988</v>
      </c>
      <c r="D432" s="7">
        <v>128</v>
      </c>
      <c r="E432" s="7">
        <v>146</v>
      </c>
      <c r="F432" s="7">
        <v>5265.0291970802919</v>
      </c>
      <c r="G432" s="7">
        <v>1990.0025439682231</v>
      </c>
      <c r="H432" s="7">
        <v>1738.788522908194</v>
      </c>
    </row>
    <row r="433" spans="1:8" x14ac:dyDescent="0.3">
      <c r="A433" s="7">
        <v>430</v>
      </c>
      <c r="B433" s="7">
        <v>1495.2417102246609</v>
      </c>
      <c r="C433" s="7">
        <v>978.19111796220932</v>
      </c>
      <c r="D433" s="7">
        <v>128</v>
      </c>
      <c r="E433" s="7">
        <v>146</v>
      </c>
      <c r="F433" s="7">
        <v>8811.7335766423366</v>
      </c>
      <c r="G433" s="7">
        <v>2212.5107662167429</v>
      </c>
      <c r="H433" s="7">
        <v>2349.4784644245028</v>
      </c>
    </row>
    <row r="434" spans="1:8" x14ac:dyDescent="0.3">
      <c r="A434" s="7">
        <v>431</v>
      </c>
      <c r="B434" s="7">
        <v>1285.9625851514711</v>
      </c>
      <c r="C434" s="7">
        <v>733.49338513651924</v>
      </c>
      <c r="D434" s="7">
        <v>129</v>
      </c>
      <c r="E434" s="7">
        <v>146</v>
      </c>
      <c r="F434" s="7">
        <v>10108.265454545461</v>
      </c>
      <c r="G434" s="7">
        <v>2652.4831528152999</v>
      </c>
      <c r="H434" s="7">
        <v>2252.4547172861562</v>
      </c>
    </row>
    <row r="435" spans="1:8" x14ac:dyDescent="0.3">
      <c r="A435" s="7">
        <v>432</v>
      </c>
      <c r="B435" s="7">
        <v>1423.6327859443379</v>
      </c>
      <c r="C435" s="7">
        <v>1338.3274703627619</v>
      </c>
      <c r="D435" s="7">
        <v>131</v>
      </c>
      <c r="E435" s="7">
        <v>146</v>
      </c>
      <c r="F435" s="7">
        <v>11603.552346570399</v>
      </c>
      <c r="G435" s="7">
        <v>2576.516411124504</v>
      </c>
      <c r="H435" s="7">
        <v>2114.7275529693352</v>
      </c>
    </row>
    <row r="436" spans="1:8" x14ac:dyDescent="0.3">
      <c r="A436" s="7">
        <v>433</v>
      </c>
      <c r="B436" s="7">
        <v>847.2180707407764</v>
      </c>
      <c r="C436" s="7">
        <v>775.09668367095253</v>
      </c>
      <c r="D436" s="7">
        <v>131</v>
      </c>
      <c r="E436" s="7">
        <v>181</v>
      </c>
      <c r="F436" s="7">
        <v>5094.8173076923076</v>
      </c>
      <c r="G436" s="7">
        <v>1885.29754672695</v>
      </c>
      <c r="H436" s="7">
        <v>1800.0966303098951</v>
      </c>
    </row>
    <row r="437" spans="1:8" x14ac:dyDescent="0.3">
      <c r="A437" s="7">
        <v>434</v>
      </c>
      <c r="B437" s="7">
        <v>1597.5750917951009</v>
      </c>
      <c r="C437" s="7">
        <v>1214.79407139821</v>
      </c>
      <c r="D437" s="7">
        <v>128</v>
      </c>
      <c r="E437" s="7">
        <v>146</v>
      </c>
      <c r="F437" s="7">
        <v>10528.255474452561</v>
      </c>
      <c r="G437" s="7">
        <v>2433.8933284708678</v>
      </c>
      <c r="H437" s="7">
        <v>2402.2165420853489</v>
      </c>
    </row>
    <row r="438" spans="1:8" x14ac:dyDescent="0.3">
      <c r="A438" s="7">
        <v>435</v>
      </c>
      <c r="B438" s="7">
        <v>551.77478780833428</v>
      </c>
      <c r="C438" s="7">
        <v>380.16145149849882</v>
      </c>
      <c r="D438" s="7">
        <v>129</v>
      </c>
      <c r="E438" s="7">
        <v>146</v>
      </c>
      <c r="F438" s="7">
        <v>3241.6836363636362</v>
      </c>
      <c r="G438" s="7">
        <v>864.3235020980685</v>
      </c>
      <c r="H438" s="7">
        <v>727.00512990219647</v>
      </c>
    </row>
    <row r="439" spans="1:8" x14ac:dyDescent="0.3">
      <c r="A439" s="7">
        <v>436</v>
      </c>
      <c r="B439" s="7">
        <v>747.24912360543351</v>
      </c>
      <c r="C439" s="7">
        <v>439.29984886279158</v>
      </c>
      <c r="D439" s="7">
        <v>131</v>
      </c>
      <c r="E439" s="7">
        <v>146</v>
      </c>
      <c r="F439" s="7">
        <v>5489.425992779783</v>
      </c>
      <c r="G439" s="7">
        <v>1664.895251501812</v>
      </c>
      <c r="H439" s="7">
        <v>1426.417377294099</v>
      </c>
    </row>
    <row r="440" spans="1:8" x14ac:dyDescent="0.3">
      <c r="A440" s="7">
        <v>437</v>
      </c>
      <c r="B440" s="7">
        <v>1365.362417770513</v>
      </c>
      <c r="C440" s="7">
        <v>1208.5134785171549</v>
      </c>
      <c r="D440" s="7">
        <v>131</v>
      </c>
      <c r="E440" s="7">
        <v>146</v>
      </c>
      <c r="F440" s="7">
        <v>7302.7111913357403</v>
      </c>
      <c r="G440" s="7">
        <v>2575.3135538732681</v>
      </c>
      <c r="H440" s="7">
        <v>2473.6068584985278</v>
      </c>
    </row>
    <row r="441" spans="1:8" x14ac:dyDescent="0.3">
      <c r="A441" s="7">
        <v>438</v>
      </c>
      <c r="B441" s="7">
        <v>986.52103819231377</v>
      </c>
      <c r="C441" s="7">
        <v>512.7315249065764</v>
      </c>
      <c r="D441" s="7">
        <v>131</v>
      </c>
      <c r="E441" s="7">
        <v>146</v>
      </c>
      <c r="F441" s="7">
        <v>5701.5992779783392</v>
      </c>
      <c r="G441" s="7">
        <v>2286.399055550316</v>
      </c>
      <c r="H441" s="7">
        <v>2058.9437975923079</v>
      </c>
    </row>
    <row r="442" spans="1:8" x14ac:dyDescent="0.3">
      <c r="A442" s="7">
        <v>439</v>
      </c>
      <c r="B442" s="7">
        <v>993.64043061792779</v>
      </c>
      <c r="C442" s="7">
        <v>657.10383433368713</v>
      </c>
      <c r="D442" s="7">
        <v>131</v>
      </c>
      <c r="E442" s="7">
        <v>146</v>
      </c>
      <c r="F442" s="7">
        <v>7439.0613718411551</v>
      </c>
      <c r="G442" s="7">
        <v>2428.539651662014</v>
      </c>
      <c r="H442" s="7">
        <v>2159.5442711146511</v>
      </c>
    </row>
    <row r="443" spans="1:8" x14ac:dyDescent="0.3">
      <c r="A443" s="7">
        <v>440</v>
      </c>
      <c r="B443" s="7">
        <v>907.38192313887691</v>
      </c>
      <c r="C443" s="7">
        <v>754.86613564510299</v>
      </c>
      <c r="D443" s="7">
        <v>128</v>
      </c>
      <c r="E443" s="7">
        <v>146</v>
      </c>
      <c r="F443" s="7">
        <v>5504.4562043795622</v>
      </c>
      <c r="G443" s="7">
        <v>1657.1272747400851</v>
      </c>
      <c r="H443" s="7">
        <v>1276.6817595111529</v>
      </c>
    </row>
    <row r="444" spans="1:8" x14ac:dyDescent="0.3">
      <c r="A444" s="7">
        <v>441</v>
      </c>
      <c r="B444" s="7">
        <v>993.40139071082456</v>
      </c>
      <c r="C444" s="7">
        <v>838.93240551940573</v>
      </c>
      <c r="D444" s="7">
        <v>129</v>
      </c>
      <c r="E444" s="7">
        <v>146</v>
      </c>
      <c r="F444" s="7">
        <v>6951.2509090909089</v>
      </c>
      <c r="G444" s="7">
        <v>2314.3775813698348</v>
      </c>
      <c r="H444" s="7">
        <v>2047.4817124979891</v>
      </c>
    </row>
    <row r="445" spans="1:8" x14ac:dyDescent="0.3">
      <c r="A445" s="7">
        <v>442</v>
      </c>
      <c r="B445" s="7">
        <v>840.95794570176395</v>
      </c>
      <c r="C445" s="7">
        <v>586.6698055226467</v>
      </c>
      <c r="D445" s="7">
        <v>128</v>
      </c>
      <c r="E445" s="7">
        <v>146</v>
      </c>
      <c r="F445" s="7">
        <v>4674.0510948905112</v>
      </c>
      <c r="G445" s="7">
        <v>2056.942056792072</v>
      </c>
      <c r="H445" s="7">
        <v>1709.851471559597</v>
      </c>
    </row>
    <row r="446" spans="1:8" x14ac:dyDescent="0.3">
      <c r="A446" s="7">
        <v>443</v>
      </c>
      <c r="B446" s="7">
        <v>967.99872485654453</v>
      </c>
      <c r="C446" s="7">
        <v>483.79328962995578</v>
      </c>
      <c r="D446" s="7">
        <v>131</v>
      </c>
      <c r="E446" s="7">
        <v>146</v>
      </c>
      <c r="F446" s="7">
        <v>5368.4368231046928</v>
      </c>
      <c r="G446" s="7">
        <v>1923.3014812520321</v>
      </c>
      <c r="H446" s="7">
        <v>1718.27384114136</v>
      </c>
    </row>
    <row r="447" spans="1:8" x14ac:dyDescent="0.3">
      <c r="A447" s="7">
        <v>444</v>
      </c>
      <c r="B447" s="7">
        <v>2514.3297127123769</v>
      </c>
      <c r="C447" s="7">
        <v>1429.0964852956499</v>
      </c>
      <c r="D447" s="7">
        <v>131</v>
      </c>
      <c r="E447" s="7">
        <v>146</v>
      </c>
      <c r="F447" s="7">
        <v>11544.99277978339</v>
      </c>
      <c r="G447" s="7">
        <v>4269.1514656476202</v>
      </c>
      <c r="H447" s="7">
        <v>3061.3526556396241</v>
      </c>
    </row>
    <row r="448" spans="1:8" x14ac:dyDescent="0.3">
      <c r="A448" s="7">
        <v>445</v>
      </c>
      <c r="B448" s="7">
        <v>1268.2257762298909</v>
      </c>
      <c r="C448" s="7">
        <v>1217.672305434666</v>
      </c>
      <c r="D448" s="7">
        <v>127</v>
      </c>
      <c r="E448" s="7">
        <v>146</v>
      </c>
      <c r="F448" s="7">
        <v>8613.5714285714294</v>
      </c>
      <c r="G448" s="7">
        <v>2192.058240720045</v>
      </c>
      <c r="H448" s="7">
        <v>2236.2884398711558</v>
      </c>
    </row>
    <row r="449" spans="1:8" x14ac:dyDescent="0.3">
      <c r="A449" s="7">
        <v>446</v>
      </c>
      <c r="B449" s="7">
        <v>988.49236977592273</v>
      </c>
      <c r="C449" s="7">
        <v>422.22206216202841</v>
      </c>
      <c r="D449" s="7">
        <v>129</v>
      </c>
      <c r="E449" s="7">
        <v>146</v>
      </c>
      <c r="F449" s="7">
        <v>4938.3818181818178</v>
      </c>
      <c r="G449" s="7">
        <v>1910.0207982146169</v>
      </c>
      <c r="H449" s="7">
        <v>1523.572565719697</v>
      </c>
    </row>
    <row r="450" spans="1:8" x14ac:dyDescent="0.3">
      <c r="A450" s="7">
        <v>447</v>
      </c>
      <c r="B450" s="7">
        <v>662.01922344953437</v>
      </c>
      <c r="C450" s="7">
        <v>526.70173000384966</v>
      </c>
      <c r="D450" s="7">
        <v>131</v>
      </c>
      <c r="E450" s="7">
        <v>146</v>
      </c>
      <c r="F450" s="7">
        <v>5440.0794223826724</v>
      </c>
      <c r="G450" s="7">
        <v>1124.4729893673721</v>
      </c>
      <c r="H450" s="7">
        <v>1040.8624585094069</v>
      </c>
    </row>
    <row r="451" spans="1:8" x14ac:dyDescent="0.3">
      <c r="A451" s="7">
        <v>448</v>
      </c>
      <c r="B451" s="7">
        <v>1294.732987783621</v>
      </c>
      <c r="C451" s="7">
        <v>782.46048289887028</v>
      </c>
      <c r="D451" s="7">
        <v>129</v>
      </c>
      <c r="E451" s="7">
        <v>146</v>
      </c>
      <c r="F451" s="7">
        <v>8784.0181818181827</v>
      </c>
      <c r="G451" s="7">
        <v>2556.5954999544988</v>
      </c>
      <c r="H451" s="7">
        <v>2144.05607643646</v>
      </c>
    </row>
    <row r="452" spans="1:8" x14ac:dyDescent="0.3">
      <c r="A452" s="7">
        <v>449</v>
      </c>
      <c r="B452" s="7">
        <v>1248.162464058719</v>
      </c>
      <c r="C452" s="7">
        <v>958.51958039322187</v>
      </c>
      <c r="D452" s="7">
        <v>129</v>
      </c>
      <c r="E452" s="7">
        <v>146</v>
      </c>
      <c r="F452" s="7">
        <v>10711.396363636361</v>
      </c>
      <c r="G452" s="7">
        <v>3368.1505563948049</v>
      </c>
      <c r="H452" s="7">
        <v>2968.3566910338591</v>
      </c>
    </row>
    <row r="453" spans="1:8" x14ac:dyDescent="0.3">
      <c r="A453" s="7">
        <v>450</v>
      </c>
      <c r="B453" s="7">
        <v>1537.0708643134019</v>
      </c>
      <c r="C453" s="7">
        <v>1020.2853907307569</v>
      </c>
      <c r="D453" s="7">
        <v>128</v>
      </c>
      <c r="E453" s="7">
        <v>146</v>
      </c>
      <c r="F453" s="7">
        <v>8735.8686131386858</v>
      </c>
      <c r="G453" s="7">
        <v>3066.5876304636231</v>
      </c>
      <c r="H453" s="7">
        <v>2768.417090131381</v>
      </c>
    </row>
    <row r="454" spans="1:8" x14ac:dyDescent="0.3">
      <c r="A454" s="7">
        <v>451</v>
      </c>
      <c r="B454" s="7">
        <v>911.31452000876504</v>
      </c>
      <c r="C454" s="7">
        <v>522.64512528646094</v>
      </c>
      <c r="D454" s="7">
        <v>129</v>
      </c>
      <c r="E454" s="7">
        <v>146</v>
      </c>
      <c r="F454" s="7">
        <v>5643.2618181818179</v>
      </c>
      <c r="G454" s="7">
        <v>1813.152169757871</v>
      </c>
      <c r="H454" s="7">
        <v>1463.877287319114</v>
      </c>
    </row>
    <row r="455" spans="1:8" x14ac:dyDescent="0.3">
      <c r="A455" s="7">
        <v>452</v>
      </c>
      <c r="B455" s="7">
        <v>809.8552303984543</v>
      </c>
      <c r="C455" s="7">
        <v>452.9106257882201</v>
      </c>
      <c r="D455" s="7">
        <v>131</v>
      </c>
      <c r="E455" s="7">
        <v>146</v>
      </c>
      <c r="F455" s="7">
        <v>4637.1083032490978</v>
      </c>
      <c r="G455" s="7">
        <v>1935.6551546860289</v>
      </c>
      <c r="H455" s="7">
        <v>1665.923726649482</v>
      </c>
    </row>
    <row r="456" spans="1:8" x14ac:dyDescent="0.3">
      <c r="A456" s="7">
        <v>453</v>
      </c>
      <c r="B456" s="7">
        <v>1786.1565139526381</v>
      </c>
      <c r="C456" s="7">
        <v>1397.663540577415</v>
      </c>
      <c r="D456" s="7">
        <v>131</v>
      </c>
      <c r="E456" s="7">
        <v>181</v>
      </c>
      <c r="F456" s="7">
        <v>7125.5993589743593</v>
      </c>
      <c r="G456" s="7">
        <v>2643.4429680231119</v>
      </c>
      <c r="H456" s="7">
        <v>2739.4463700471738</v>
      </c>
    </row>
    <row r="457" spans="1:8" x14ac:dyDescent="0.3">
      <c r="A457" s="7">
        <v>454</v>
      </c>
      <c r="B457" s="7">
        <v>894.2710133083724</v>
      </c>
      <c r="C457" s="7">
        <v>541.52651455450507</v>
      </c>
      <c r="D457" s="7">
        <v>130</v>
      </c>
      <c r="E457" s="7">
        <v>146</v>
      </c>
      <c r="F457" s="7">
        <v>5816.865942028986</v>
      </c>
      <c r="G457" s="7">
        <v>2088.688616922479</v>
      </c>
      <c r="H457" s="7">
        <v>1724.39750844267</v>
      </c>
    </row>
    <row r="458" spans="1:8" x14ac:dyDescent="0.3">
      <c r="A458" s="7">
        <v>455</v>
      </c>
      <c r="B458" s="7">
        <v>1526.648312736625</v>
      </c>
      <c r="C458" s="7">
        <v>888.99670828812987</v>
      </c>
      <c r="D458" s="7">
        <v>128</v>
      </c>
      <c r="E458" s="7">
        <v>146</v>
      </c>
      <c r="F458" s="7">
        <v>8026.149635036496</v>
      </c>
      <c r="G458" s="7">
        <v>2568.236765942248</v>
      </c>
      <c r="H458" s="7">
        <v>2076.6336183668759</v>
      </c>
    </row>
    <row r="459" spans="1:8" x14ac:dyDescent="0.3">
      <c r="A459" s="7">
        <v>456</v>
      </c>
      <c r="B459" s="7">
        <v>883.86138570647779</v>
      </c>
      <c r="C459" s="7">
        <v>508.40978836636219</v>
      </c>
      <c r="D459" s="7">
        <v>129</v>
      </c>
      <c r="E459" s="7">
        <v>146</v>
      </c>
      <c r="F459" s="7">
        <v>6027.9345454545464</v>
      </c>
      <c r="G459" s="7">
        <v>1955.8157143573451</v>
      </c>
      <c r="H459" s="7">
        <v>1759.1695659156439</v>
      </c>
    </row>
    <row r="460" spans="1:8" x14ac:dyDescent="0.3">
      <c r="A460" s="7">
        <v>457</v>
      </c>
      <c r="B460" s="7">
        <v>2166.9361844921991</v>
      </c>
      <c r="C460" s="7">
        <v>995.90465245866278</v>
      </c>
      <c r="D460" s="7">
        <v>128</v>
      </c>
      <c r="E460" s="7">
        <v>146</v>
      </c>
      <c r="F460" s="7">
        <v>5416.7846715328469</v>
      </c>
      <c r="G460" s="7">
        <v>1737.7938083422041</v>
      </c>
      <c r="H460" s="7">
        <v>1600.8871427541719</v>
      </c>
    </row>
    <row r="461" spans="1:8" x14ac:dyDescent="0.3">
      <c r="A461" s="7">
        <v>458</v>
      </c>
      <c r="B461" s="7">
        <v>1142.799627483362</v>
      </c>
      <c r="C461" s="7">
        <v>828.24730250210382</v>
      </c>
      <c r="D461" s="7">
        <v>129</v>
      </c>
      <c r="E461" s="7">
        <v>146</v>
      </c>
      <c r="F461" s="7">
        <v>7653.9381818181819</v>
      </c>
      <c r="G461" s="7">
        <v>2520.2516931646378</v>
      </c>
      <c r="H461" s="7">
        <v>2073.6107612184828</v>
      </c>
    </row>
    <row r="462" spans="1:8" x14ac:dyDescent="0.3">
      <c r="A462" s="7">
        <v>459</v>
      </c>
      <c r="B462" s="7">
        <v>1317.216318055561</v>
      </c>
      <c r="C462" s="7">
        <v>726.45675380393243</v>
      </c>
      <c r="D462" s="7">
        <v>131</v>
      </c>
      <c r="E462" s="7">
        <v>146</v>
      </c>
      <c r="F462" s="7">
        <v>9282.5559566786997</v>
      </c>
      <c r="G462" s="7">
        <v>3569.013712198735</v>
      </c>
      <c r="H462" s="7">
        <v>3051.194097039423</v>
      </c>
    </row>
    <row r="463" spans="1:8" x14ac:dyDescent="0.3">
      <c r="A463" s="7">
        <v>460</v>
      </c>
      <c r="B463" s="7">
        <v>615.82282821940612</v>
      </c>
      <c r="C463" s="7">
        <v>388.61242336524941</v>
      </c>
      <c r="D463" s="7">
        <v>130</v>
      </c>
      <c r="E463" s="7">
        <v>146</v>
      </c>
      <c r="F463" s="7">
        <v>3657.963768115942</v>
      </c>
      <c r="G463" s="7">
        <v>1524.1081629292889</v>
      </c>
      <c r="H463" s="7">
        <v>1389.658280652586</v>
      </c>
    </row>
    <row r="464" spans="1:8" x14ac:dyDescent="0.3">
      <c r="A464" s="7">
        <v>461</v>
      </c>
      <c r="B464" s="7">
        <v>1070.155361429574</v>
      </c>
      <c r="C464" s="7">
        <v>539.37737154272554</v>
      </c>
      <c r="D464" s="7">
        <v>128</v>
      </c>
      <c r="E464" s="7">
        <v>146</v>
      </c>
      <c r="F464" s="7">
        <v>4785.5291970802919</v>
      </c>
      <c r="G464" s="7">
        <v>1720.1893836508229</v>
      </c>
      <c r="H464" s="7">
        <v>1540.3835761406431</v>
      </c>
    </row>
    <row r="465" spans="1:8" x14ac:dyDescent="0.3">
      <c r="A465" s="7">
        <v>462</v>
      </c>
      <c r="B465" s="7">
        <v>764.36095393564358</v>
      </c>
      <c r="C465" s="7">
        <v>518.49866953481785</v>
      </c>
      <c r="D465" s="7">
        <v>130</v>
      </c>
      <c r="E465" s="7">
        <v>146</v>
      </c>
      <c r="F465" s="7">
        <v>4625.989130434783</v>
      </c>
      <c r="G465" s="7">
        <v>1486.7965046212089</v>
      </c>
      <c r="H465" s="7">
        <v>1320.9675444251679</v>
      </c>
    </row>
    <row r="466" spans="1:8" x14ac:dyDescent="0.3">
      <c r="A466" s="7">
        <v>463</v>
      </c>
      <c r="B466" s="7">
        <v>699.48124005957152</v>
      </c>
      <c r="C466" s="7">
        <v>723.17525940632731</v>
      </c>
      <c r="D466" s="7">
        <v>129</v>
      </c>
      <c r="E466" s="7">
        <v>146</v>
      </c>
      <c r="F466" s="7">
        <v>6372.8836363636356</v>
      </c>
      <c r="G466" s="7">
        <v>1802.726784752786</v>
      </c>
      <c r="H466" s="7">
        <v>1507.7371323523121</v>
      </c>
    </row>
    <row r="467" spans="1:8" x14ac:dyDescent="0.3">
      <c r="A467" s="7">
        <v>464</v>
      </c>
      <c r="B467" s="7">
        <v>1447.9281557938421</v>
      </c>
      <c r="C467" s="7">
        <v>1155.2191760021619</v>
      </c>
      <c r="D467" s="7">
        <v>131</v>
      </c>
      <c r="E467" s="7">
        <v>146</v>
      </c>
      <c r="F467" s="7">
        <v>10106.714801444041</v>
      </c>
      <c r="G467" s="7">
        <v>3021.779184974986</v>
      </c>
      <c r="H467" s="7">
        <v>2446.5648632597058</v>
      </c>
    </row>
    <row r="468" spans="1:8" x14ac:dyDescent="0.3">
      <c r="A468" s="7">
        <v>465</v>
      </c>
      <c r="B468" s="7">
        <v>1094.979825760541</v>
      </c>
      <c r="C468" s="7">
        <v>731.11580959859145</v>
      </c>
      <c r="D468" s="7">
        <v>129</v>
      </c>
      <c r="E468" s="7">
        <v>146</v>
      </c>
      <c r="F468" s="7">
        <v>8131.2618181818179</v>
      </c>
      <c r="G468" s="7">
        <v>3004.160427801583</v>
      </c>
      <c r="H468" s="7">
        <v>2605.127532176517</v>
      </c>
    </row>
    <row r="469" spans="1:8" x14ac:dyDescent="0.3">
      <c r="A469" s="7">
        <v>466</v>
      </c>
      <c r="B469" s="7">
        <v>1367.596742163224</v>
      </c>
      <c r="C469" s="7">
        <v>648.5238211115452</v>
      </c>
      <c r="D469" s="7">
        <v>129</v>
      </c>
      <c r="E469" s="7">
        <v>146</v>
      </c>
      <c r="F469" s="7">
        <v>7895.9745454545446</v>
      </c>
      <c r="G469" s="7">
        <v>2774.934630140031</v>
      </c>
      <c r="H469" s="7">
        <v>2269.7442210009308</v>
      </c>
    </row>
    <row r="470" spans="1:8" x14ac:dyDescent="0.3">
      <c r="A470" s="7">
        <v>467</v>
      </c>
      <c r="B470" s="7">
        <v>2000.358145222275</v>
      </c>
      <c r="C470" s="7">
        <v>1209.5128491653841</v>
      </c>
      <c r="D470" s="7">
        <v>129</v>
      </c>
      <c r="E470" s="7">
        <v>146</v>
      </c>
      <c r="F470" s="7">
        <v>13201.44727272727</v>
      </c>
      <c r="G470" s="7">
        <v>3841.0170013488828</v>
      </c>
      <c r="H470" s="7">
        <v>3260.556302858392</v>
      </c>
    </row>
    <row r="471" spans="1:8" x14ac:dyDescent="0.3">
      <c r="A471" s="7">
        <v>468</v>
      </c>
      <c r="B471" s="7">
        <v>1517.5410707166241</v>
      </c>
      <c r="C471" s="7">
        <v>923.73004005608436</v>
      </c>
      <c r="D471" s="7">
        <v>131</v>
      </c>
      <c r="E471" s="7">
        <v>146</v>
      </c>
      <c r="F471" s="7">
        <v>5759.4296028880863</v>
      </c>
      <c r="G471" s="7">
        <v>2489.2476928453461</v>
      </c>
      <c r="H471" s="7">
        <v>2060.4455662566888</v>
      </c>
    </row>
    <row r="472" spans="1:8" x14ac:dyDescent="0.3">
      <c r="A472" s="7">
        <v>469</v>
      </c>
      <c r="B472" s="7">
        <v>1681.197491956764</v>
      </c>
      <c r="C472" s="7">
        <v>1039.8878290359819</v>
      </c>
      <c r="D472" s="7">
        <v>131</v>
      </c>
      <c r="E472" s="7">
        <v>146</v>
      </c>
      <c r="F472" s="7">
        <v>11436.429602888091</v>
      </c>
      <c r="G472" s="7">
        <v>4191.8406758735946</v>
      </c>
      <c r="H472" s="7">
        <v>3555.4683004656981</v>
      </c>
    </row>
    <row r="473" spans="1:8" x14ac:dyDescent="0.3">
      <c r="A473" s="7">
        <v>470</v>
      </c>
      <c r="B473" s="7">
        <v>1481.893099236102</v>
      </c>
      <c r="C473" s="7">
        <v>1368.864073085648</v>
      </c>
      <c r="D473" s="7">
        <v>127</v>
      </c>
      <c r="E473" s="7">
        <v>146</v>
      </c>
      <c r="F473" s="7">
        <v>12186.97802197802</v>
      </c>
      <c r="G473" s="7">
        <v>4081.5867726507008</v>
      </c>
      <c r="H473" s="7">
        <v>3597.1954077266728</v>
      </c>
    </row>
    <row r="474" spans="1:8" x14ac:dyDescent="0.3">
      <c r="A474" s="7">
        <v>471</v>
      </c>
      <c r="B474" s="7">
        <v>1712.5477943632609</v>
      </c>
      <c r="C474" s="7">
        <v>727.08280760742321</v>
      </c>
      <c r="D474" s="7">
        <v>128</v>
      </c>
      <c r="E474" s="7">
        <v>146</v>
      </c>
      <c r="F474" s="7">
        <v>7182.1094890510949</v>
      </c>
      <c r="G474" s="7">
        <v>1910.309294738028</v>
      </c>
      <c r="H474" s="7">
        <v>1752.0001114186491</v>
      </c>
    </row>
    <row r="475" spans="1:8" x14ac:dyDescent="0.3">
      <c r="A475" s="7">
        <v>472</v>
      </c>
      <c r="B475" s="7">
        <v>875.08708050253551</v>
      </c>
      <c r="C475" s="7">
        <v>505.39563855338167</v>
      </c>
      <c r="D475" s="7">
        <v>131</v>
      </c>
      <c r="E475" s="7">
        <v>146</v>
      </c>
      <c r="F475" s="7">
        <v>5311.7148014440436</v>
      </c>
      <c r="G475" s="7">
        <v>1638.821353131852</v>
      </c>
      <c r="H475" s="7">
        <v>1381.22819824113</v>
      </c>
    </row>
    <row r="476" spans="1:8" x14ac:dyDescent="0.3">
      <c r="A476" s="7">
        <v>473</v>
      </c>
      <c r="B476" s="7">
        <v>699.39091552309037</v>
      </c>
      <c r="C476" s="7">
        <v>353.16828581584957</v>
      </c>
      <c r="D476" s="7">
        <v>129</v>
      </c>
      <c r="E476" s="7">
        <v>146</v>
      </c>
      <c r="F476" s="7">
        <v>3540.4581818181819</v>
      </c>
      <c r="G476" s="7">
        <v>1337.3295616971709</v>
      </c>
      <c r="H476" s="7">
        <v>1088.1733468876689</v>
      </c>
    </row>
    <row r="477" spans="1:8" x14ac:dyDescent="0.3">
      <c r="A477" s="7">
        <v>474</v>
      </c>
      <c r="B477" s="7">
        <v>1034.982033003962</v>
      </c>
      <c r="C477" s="7">
        <v>859.70913481850266</v>
      </c>
      <c r="D477" s="7">
        <v>131</v>
      </c>
      <c r="E477" s="7">
        <v>146</v>
      </c>
      <c r="F477" s="7">
        <v>7706.1877256317694</v>
      </c>
      <c r="G477" s="7">
        <v>2559.1984805003731</v>
      </c>
      <c r="H477" s="7">
        <v>2234.6322580610722</v>
      </c>
    </row>
    <row r="478" spans="1:8" x14ac:dyDescent="0.3">
      <c r="A478" s="7">
        <v>475</v>
      </c>
      <c r="B478" s="7">
        <v>897.45566594127695</v>
      </c>
      <c r="C478" s="7">
        <v>766.11839254194285</v>
      </c>
      <c r="D478" s="7">
        <v>127</v>
      </c>
      <c r="E478" s="7">
        <v>146</v>
      </c>
      <c r="F478" s="7">
        <v>6477.5860805860802</v>
      </c>
      <c r="G478" s="7">
        <v>1980.8366521547621</v>
      </c>
      <c r="H478" s="7">
        <v>1841.145117166421</v>
      </c>
    </row>
    <row r="479" spans="1:8" x14ac:dyDescent="0.3">
      <c r="A479" s="7">
        <v>476</v>
      </c>
      <c r="B479" s="7">
        <v>798.54426671558451</v>
      </c>
      <c r="C479" s="7">
        <v>592.96400763881957</v>
      </c>
      <c r="D479" s="7">
        <v>131</v>
      </c>
      <c r="E479" s="7">
        <v>146</v>
      </c>
      <c r="F479" s="7">
        <v>5893.8628158844767</v>
      </c>
      <c r="G479" s="7">
        <v>2091.1313165858592</v>
      </c>
      <c r="H479" s="7">
        <v>1862.6270021974519</v>
      </c>
    </row>
    <row r="480" spans="1:8" x14ac:dyDescent="0.3">
      <c r="A480" s="7">
        <v>477</v>
      </c>
      <c r="B480" s="7">
        <v>1914.6945401116261</v>
      </c>
      <c r="C480" s="7">
        <v>915.94465033755671</v>
      </c>
      <c r="D480" s="7">
        <v>128</v>
      </c>
      <c r="E480" s="7">
        <v>146</v>
      </c>
      <c r="F480" s="7">
        <v>6227.8576642335775</v>
      </c>
      <c r="G480" s="7">
        <v>1871.112355074516</v>
      </c>
      <c r="H480" s="7">
        <v>1787.110990336309</v>
      </c>
    </row>
    <row r="481" spans="1:8" x14ac:dyDescent="0.3">
      <c r="A481" s="7">
        <v>478</v>
      </c>
      <c r="B481" s="7">
        <v>1137.1821751204509</v>
      </c>
      <c r="C481" s="7">
        <v>629.32298171994341</v>
      </c>
      <c r="D481" s="7">
        <v>131</v>
      </c>
      <c r="E481" s="7">
        <v>146</v>
      </c>
      <c r="F481" s="7">
        <v>6936.0216606498198</v>
      </c>
      <c r="G481" s="7">
        <v>2391.51625383697</v>
      </c>
      <c r="H481" s="7">
        <v>2038.696425767788</v>
      </c>
    </row>
    <row r="482" spans="1:8" x14ac:dyDescent="0.3">
      <c r="A482" s="7">
        <v>479</v>
      </c>
      <c r="B482" s="7">
        <v>1505.6264172278779</v>
      </c>
      <c r="C482" s="7">
        <v>1075.787733204304</v>
      </c>
      <c r="D482" s="7">
        <v>130</v>
      </c>
      <c r="E482" s="7">
        <v>146</v>
      </c>
      <c r="F482" s="7">
        <v>11258.8115942029</v>
      </c>
      <c r="G482" s="7">
        <v>3532.5453418615439</v>
      </c>
      <c r="H482" s="7">
        <v>3080.7303116995909</v>
      </c>
    </row>
    <row r="483" spans="1:8" x14ac:dyDescent="0.3">
      <c r="A483" s="7">
        <v>480</v>
      </c>
      <c r="B483" s="7">
        <v>714.96760218344093</v>
      </c>
      <c r="C483" s="7">
        <v>509.07199109187337</v>
      </c>
      <c r="D483" s="7">
        <v>131</v>
      </c>
      <c r="E483" s="7">
        <v>146</v>
      </c>
      <c r="F483" s="7">
        <v>4999.2057761732849</v>
      </c>
      <c r="G483" s="7">
        <v>1398.405048399537</v>
      </c>
      <c r="H483" s="7">
        <v>1176.7569813477569</v>
      </c>
    </row>
    <row r="484" spans="1:8" x14ac:dyDescent="0.3">
      <c r="A484" s="7">
        <v>481</v>
      </c>
      <c r="B484" s="7">
        <v>880.37409573627883</v>
      </c>
      <c r="C484" s="7">
        <v>532.5125541119271</v>
      </c>
      <c r="D484" s="7">
        <v>129</v>
      </c>
      <c r="E484" s="7">
        <v>146</v>
      </c>
      <c r="F484" s="7">
        <v>5940.7527272727266</v>
      </c>
      <c r="G484" s="7">
        <v>2221.3919286733699</v>
      </c>
      <c r="H484" s="7">
        <v>1911.861409188753</v>
      </c>
    </row>
    <row r="485" spans="1:8" x14ac:dyDescent="0.3">
      <c r="A485" s="7">
        <v>482</v>
      </c>
      <c r="B485" s="7">
        <v>1448.040823922543</v>
      </c>
      <c r="C485" s="7">
        <v>945.5550046742452</v>
      </c>
      <c r="D485" s="7">
        <v>130</v>
      </c>
      <c r="E485" s="7">
        <v>146</v>
      </c>
      <c r="F485" s="7">
        <v>7961.594202898551</v>
      </c>
      <c r="G485" s="7">
        <v>3087.8827959523428</v>
      </c>
      <c r="H485" s="7">
        <v>2780.8793930392121</v>
      </c>
    </row>
    <row r="486" spans="1:8" x14ac:dyDescent="0.3">
      <c r="A486" s="7">
        <v>483</v>
      </c>
      <c r="B486" s="7">
        <v>729.54688958126656</v>
      </c>
      <c r="C486" s="7">
        <v>573.90640205090619</v>
      </c>
      <c r="D486" s="7">
        <v>130</v>
      </c>
      <c r="E486" s="7">
        <v>146</v>
      </c>
      <c r="F486" s="7">
        <v>5022.572463768116</v>
      </c>
      <c r="G486" s="7">
        <v>1839.345519053323</v>
      </c>
      <c r="H486" s="7">
        <v>1537.124612821767</v>
      </c>
    </row>
    <row r="487" spans="1:8" x14ac:dyDescent="0.3">
      <c r="A487" s="7">
        <v>484</v>
      </c>
      <c r="B487" s="7">
        <v>1612.966758651497</v>
      </c>
      <c r="C487" s="7">
        <v>959.00529794304919</v>
      </c>
      <c r="D487" s="7">
        <v>131</v>
      </c>
      <c r="E487" s="7">
        <v>146</v>
      </c>
      <c r="F487" s="7">
        <v>7856.5631768953072</v>
      </c>
      <c r="G487" s="7">
        <v>2612.5652028095492</v>
      </c>
      <c r="H487" s="7">
        <v>2104.9100394013522</v>
      </c>
    </row>
    <row r="488" spans="1:8" x14ac:dyDescent="0.3">
      <c r="A488" s="7">
        <v>485</v>
      </c>
      <c r="B488" s="7">
        <v>2442.2156939664692</v>
      </c>
      <c r="C488" s="7">
        <v>1038.484298501995</v>
      </c>
      <c r="D488" s="7">
        <v>128</v>
      </c>
      <c r="E488" s="7">
        <v>146</v>
      </c>
      <c r="F488" s="7">
        <v>5276.1240875912408</v>
      </c>
      <c r="G488" s="7">
        <v>1530.135477049336</v>
      </c>
      <c r="H488" s="7">
        <v>1345.421138936018</v>
      </c>
    </row>
    <row r="489" spans="1:8" x14ac:dyDescent="0.3">
      <c r="A489" s="7">
        <v>486</v>
      </c>
      <c r="B489" s="7">
        <v>669.43666330011717</v>
      </c>
      <c r="C489" s="7">
        <v>415.65475791149532</v>
      </c>
      <c r="D489" s="7">
        <v>129</v>
      </c>
      <c r="E489" s="7">
        <v>146</v>
      </c>
      <c r="F489" s="7">
        <v>4493.7381818181821</v>
      </c>
      <c r="G489" s="7">
        <v>1643.4489211986929</v>
      </c>
      <c r="H489" s="7">
        <v>1389.560221648936</v>
      </c>
    </row>
    <row r="490" spans="1:8" x14ac:dyDescent="0.3">
      <c r="A490" s="7">
        <v>487</v>
      </c>
      <c r="B490" s="7">
        <v>1199.2370116231291</v>
      </c>
      <c r="C490" s="7">
        <v>639.41263568932959</v>
      </c>
      <c r="D490" s="7">
        <v>131</v>
      </c>
      <c r="E490" s="7">
        <v>146</v>
      </c>
      <c r="F490" s="7">
        <v>7236.1768953068586</v>
      </c>
      <c r="G490" s="7">
        <v>2419.5715190665192</v>
      </c>
      <c r="H490" s="7">
        <v>2110.2891592425049</v>
      </c>
    </row>
    <row r="491" spans="1:8" x14ac:dyDescent="0.3">
      <c r="A491" s="7">
        <v>488</v>
      </c>
      <c r="B491" s="7">
        <v>587.60303727515372</v>
      </c>
      <c r="C491" s="7">
        <v>421.33129142383041</v>
      </c>
      <c r="D491" s="7">
        <v>131</v>
      </c>
      <c r="E491" s="7">
        <v>146</v>
      </c>
      <c r="F491" s="7">
        <v>3660.0324909747292</v>
      </c>
      <c r="G491" s="7">
        <v>1184.118018153609</v>
      </c>
      <c r="H491" s="7">
        <v>1090.892825869822</v>
      </c>
    </row>
    <row r="492" spans="1:8" x14ac:dyDescent="0.3">
      <c r="A492" s="7">
        <v>489</v>
      </c>
      <c r="B492" s="7">
        <v>899.47750749877855</v>
      </c>
      <c r="C492" s="7">
        <v>575.74883781926474</v>
      </c>
      <c r="D492" s="7">
        <v>130</v>
      </c>
      <c r="E492" s="7">
        <v>146</v>
      </c>
      <c r="F492" s="7">
        <v>7338.134057971014</v>
      </c>
      <c r="G492" s="7">
        <v>3127.258522928792</v>
      </c>
      <c r="H492" s="7">
        <v>2798.4916472985942</v>
      </c>
    </row>
    <row r="493" spans="1:8" x14ac:dyDescent="0.3">
      <c r="A493" s="7">
        <v>490</v>
      </c>
      <c r="B493" s="7">
        <v>1513.0000959892479</v>
      </c>
      <c r="C493" s="7">
        <v>925.08297475750373</v>
      </c>
      <c r="D493" s="7">
        <v>128</v>
      </c>
      <c r="E493" s="7">
        <v>146</v>
      </c>
      <c r="F493" s="7">
        <v>8555.2262773722632</v>
      </c>
      <c r="G493" s="7">
        <v>1490.269952475054</v>
      </c>
      <c r="H493" s="7">
        <v>1463.189277917829</v>
      </c>
    </row>
    <row r="494" spans="1:8" x14ac:dyDescent="0.3">
      <c r="A494" s="7">
        <v>491</v>
      </c>
      <c r="B494" s="7">
        <v>1135.342971248115</v>
      </c>
      <c r="C494" s="7">
        <v>692.47641344170711</v>
      </c>
      <c r="D494" s="7">
        <v>128</v>
      </c>
      <c r="E494" s="7">
        <v>146</v>
      </c>
      <c r="F494" s="7">
        <v>7220.36496350365</v>
      </c>
      <c r="G494" s="7">
        <v>2561.865857509913</v>
      </c>
      <c r="H494" s="7">
        <v>2190.8528692088271</v>
      </c>
    </row>
    <row r="495" spans="1:8" x14ac:dyDescent="0.3">
      <c r="A495" s="7">
        <v>492</v>
      </c>
      <c r="B495" s="7">
        <v>1581.968819341819</v>
      </c>
      <c r="C495" s="7">
        <v>841.45830567047176</v>
      </c>
      <c r="D495" s="7">
        <v>128</v>
      </c>
      <c r="E495" s="7">
        <v>146</v>
      </c>
      <c r="F495" s="7">
        <v>8067.9598540145989</v>
      </c>
      <c r="G495" s="7">
        <v>2767.094824111563</v>
      </c>
      <c r="H495" s="7">
        <v>2565.8999649512812</v>
      </c>
    </row>
    <row r="496" spans="1:8" x14ac:dyDescent="0.3">
      <c r="A496" s="7">
        <v>493</v>
      </c>
      <c r="B496" s="7">
        <v>1516.640458387775</v>
      </c>
      <c r="C496" s="7">
        <v>919.54396544869189</v>
      </c>
      <c r="D496" s="7">
        <v>129</v>
      </c>
      <c r="E496" s="7">
        <v>146</v>
      </c>
      <c r="F496" s="7">
        <v>9194.1200000000008</v>
      </c>
      <c r="G496" s="7">
        <v>3279.1921923102541</v>
      </c>
      <c r="H496" s="7">
        <v>2832.2860133898621</v>
      </c>
    </row>
    <row r="497" spans="1:8" x14ac:dyDescent="0.3">
      <c r="A497" s="7">
        <v>494</v>
      </c>
      <c r="B497" s="7">
        <v>952.33847329286868</v>
      </c>
      <c r="C497" s="7">
        <v>966.58092939829305</v>
      </c>
      <c r="D497" s="7">
        <v>135</v>
      </c>
      <c r="E497" s="7">
        <v>201</v>
      </c>
      <c r="F497" s="7">
        <v>7828.6904761904761</v>
      </c>
      <c r="G497" s="7">
        <v>2119.1780604403798</v>
      </c>
      <c r="H497" s="7">
        <v>1781.0013212986851</v>
      </c>
    </row>
    <row r="498" spans="1:8" x14ac:dyDescent="0.3">
      <c r="A498" s="7">
        <v>495</v>
      </c>
      <c r="B498" s="7">
        <v>856.46166064153431</v>
      </c>
      <c r="C498" s="7">
        <v>451.53220394506877</v>
      </c>
      <c r="D498" s="7">
        <v>128</v>
      </c>
      <c r="E498" s="7">
        <v>146</v>
      </c>
      <c r="F498" s="7">
        <v>5436.9744525547449</v>
      </c>
      <c r="G498" s="7">
        <v>2075.8981546399382</v>
      </c>
      <c r="H498" s="7">
        <v>1780.112779250044</v>
      </c>
    </row>
    <row r="499" spans="1:8" x14ac:dyDescent="0.3">
      <c r="A499" s="7">
        <v>496</v>
      </c>
      <c r="B499" s="7">
        <v>1187.8921683828521</v>
      </c>
      <c r="C499" s="7">
        <v>718.33649363752011</v>
      </c>
      <c r="D499" s="7">
        <v>131</v>
      </c>
      <c r="E499" s="7">
        <v>146</v>
      </c>
      <c r="F499" s="7">
        <v>8280.4729241877249</v>
      </c>
      <c r="G499" s="7">
        <v>2741.434709632088</v>
      </c>
      <c r="H499" s="7">
        <v>2472.5167160120282</v>
      </c>
    </row>
    <row r="500" spans="1:8" x14ac:dyDescent="0.3">
      <c r="A500" s="7">
        <v>497</v>
      </c>
      <c r="B500" s="7">
        <v>1046.456181735751</v>
      </c>
      <c r="C500" s="7">
        <v>616.36840366562683</v>
      </c>
      <c r="D500" s="7">
        <v>129</v>
      </c>
      <c r="E500" s="7">
        <v>146</v>
      </c>
      <c r="F500" s="7">
        <v>9187.2000000000007</v>
      </c>
      <c r="G500" s="7">
        <v>2300.76523838712</v>
      </c>
      <c r="H500" s="7">
        <v>1976.813497206989</v>
      </c>
    </row>
    <row r="501" spans="1:8" x14ac:dyDescent="0.3">
      <c r="A501" s="7">
        <v>498</v>
      </c>
      <c r="B501" s="7">
        <v>1705.5384134984561</v>
      </c>
      <c r="C501" s="7">
        <v>897.06420155522221</v>
      </c>
      <c r="D501" s="7">
        <v>128</v>
      </c>
      <c r="E501" s="7">
        <v>146</v>
      </c>
      <c r="F501" s="7">
        <v>7126.3686131386858</v>
      </c>
      <c r="G501" s="7">
        <v>976.80388016863446</v>
      </c>
      <c r="H501" s="7">
        <v>946.66187494767746</v>
      </c>
    </row>
    <row r="502" spans="1:8" x14ac:dyDescent="0.3">
      <c r="A502" s="7">
        <v>499</v>
      </c>
      <c r="B502" s="7">
        <v>867.68294862004882</v>
      </c>
      <c r="C502" s="7">
        <v>557.35296828419098</v>
      </c>
      <c r="D502" s="7">
        <v>128</v>
      </c>
      <c r="E502" s="7">
        <v>146</v>
      </c>
      <c r="F502" s="7">
        <v>5933.1386861313867</v>
      </c>
      <c r="G502" s="7">
        <v>1944.649243356627</v>
      </c>
      <c r="H502" s="7">
        <v>1536.569796568326</v>
      </c>
    </row>
    <row r="503" spans="1:8" x14ac:dyDescent="0.3">
      <c r="A503" s="7">
        <v>500</v>
      </c>
      <c r="B503" s="7">
        <v>2261.8452418958718</v>
      </c>
      <c r="C503" s="7">
        <v>1070.2280540284951</v>
      </c>
      <c r="D503" s="7">
        <v>128</v>
      </c>
      <c r="E503" s="7">
        <v>146</v>
      </c>
      <c r="F503" s="7">
        <v>6137.9525547445264</v>
      </c>
      <c r="G503" s="7">
        <v>1257.1250901113619</v>
      </c>
      <c r="H503" s="7">
        <v>1180.4823224845979</v>
      </c>
    </row>
    <row r="504" spans="1:8" x14ac:dyDescent="0.3">
      <c r="A504" s="7">
        <v>501</v>
      </c>
      <c r="B504" s="7">
        <v>2196.5002291093278</v>
      </c>
      <c r="C504" s="7">
        <v>1037.5030283896749</v>
      </c>
      <c r="D504" s="7">
        <v>128</v>
      </c>
      <c r="E504" s="7">
        <v>146</v>
      </c>
      <c r="F504" s="7">
        <v>5026.554744525547</v>
      </c>
      <c r="G504" s="7">
        <v>1569.5973259486011</v>
      </c>
      <c r="H504" s="7">
        <v>1508.759455940678</v>
      </c>
    </row>
    <row r="505" spans="1:8" x14ac:dyDescent="0.3">
      <c r="A505" s="7">
        <v>502</v>
      </c>
      <c r="B505" s="7">
        <v>1098.49279164466</v>
      </c>
      <c r="C505" s="7">
        <v>979.10590850848132</v>
      </c>
      <c r="D505" s="7">
        <v>129</v>
      </c>
      <c r="E505" s="7">
        <v>146</v>
      </c>
      <c r="F505" s="7">
        <v>10455.03636363636</v>
      </c>
      <c r="G505" s="7">
        <v>3192.14495212057</v>
      </c>
      <c r="H505" s="7">
        <v>2881.2348094865961</v>
      </c>
    </row>
    <row r="506" spans="1:8" x14ac:dyDescent="0.3">
      <c r="A506" s="7">
        <v>503</v>
      </c>
      <c r="B506" s="7">
        <v>1358.4955774476059</v>
      </c>
      <c r="C506" s="7">
        <v>722.44176348902317</v>
      </c>
      <c r="D506" s="7">
        <v>130</v>
      </c>
      <c r="E506" s="7">
        <v>146</v>
      </c>
      <c r="F506" s="7">
        <v>6996.996376811594</v>
      </c>
      <c r="G506" s="7">
        <v>3059.6172133630862</v>
      </c>
      <c r="H506" s="7">
        <v>2633.9248605897769</v>
      </c>
    </row>
    <row r="507" spans="1:8" x14ac:dyDescent="0.3">
      <c r="A507" s="7">
        <v>504</v>
      </c>
      <c r="B507" s="7">
        <v>1168.3306139501519</v>
      </c>
      <c r="C507" s="7">
        <v>800.90770794136381</v>
      </c>
      <c r="D507" s="7">
        <v>131</v>
      </c>
      <c r="E507" s="7">
        <v>146</v>
      </c>
      <c r="F507" s="7">
        <v>6928.2346570397112</v>
      </c>
      <c r="G507" s="7">
        <v>2236.0873373266691</v>
      </c>
      <c r="H507" s="7">
        <v>1826.7513908125579</v>
      </c>
    </row>
    <row r="508" spans="1:8" x14ac:dyDescent="0.3">
      <c r="A508" s="7">
        <v>505</v>
      </c>
      <c r="B508" s="7">
        <v>780.77970529040874</v>
      </c>
      <c r="C508" s="7">
        <v>544.97646292777631</v>
      </c>
      <c r="D508" s="7">
        <v>128</v>
      </c>
      <c r="E508" s="7">
        <v>146</v>
      </c>
      <c r="F508" s="7">
        <v>5048.0182481751826</v>
      </c>
      <c r="G508" s="7">
        <v>1664.134741389651</v>
      </c>
      <c r="H508" s="7">
        <v>1359.065646503821</v>
      </c>
    </row>
    <row r="509" spans="1:8" x14ac:dyDescent="0.3">
      <c r="A509" s="7">
        <v>506</v>
      </c>
      <c r="B509" s="7">
        <v>999.79975140763554</v>
      </c>
      <c r="C509" s="7">
        <v>609.51406196204982</v>
      </c>
      <c r="D509" s="7">
        <v>129</v>
      </c>
      <c r="E509" s="7">
        <v>146</v>
      </c>
      <c r="F509" s="7">
        <v>7424.4290909090914</v>
      </c>
      <c r="G509" s="7">
        <v>2547.8561743692121</v>
      </c>
      <c r="H509" s="7">
        <v>2184.3760589979211</v>
      </c>
    </row>
    <row r="510" spans="1:8" x14ac:dyDescent="0.3">
      <c r="A510" s="7">
        <v>507</v>
      </c>
      <c r="B510" s="7">
        <v>1034.6915575138721</v>
      </c>
      <c r="C510" s="7">
        <v>829.79911265202952</v>
      </c>
      <c r="D510" s="7">
        <v>129</v>
      </c>
      <c r="E510" s="7">
        <v>146</v>
      </c>
      <c r="F510" s="7">
        <v>8708.9745454545446</v>
      </c>
      <c r="G510" s="7">
        <v>2886.7763370505581</v>
      </c>
      <c r="H510" s="7">
        <v>2644.820905711324</v>
      </c>
    </row>
    <row r="511" spans="1:8" x14ac:dyDescent="0.3">
      <c r="A511" s="7">
        <v>508</v>
      </c>
      <c r="B511" s="7">
        <v>1138.204129501014</v>
      </c>
      <c r="C511" s="7">
        <v>758.53901103016062</v>
      </c>
      <c r="D511" s="7">
        <v>127</v>
      </c>
      <c r="E511" s="7">
        <v>146</v>
      </c>
      <c r="F511" s="7">
        <v>7447.0915750915747</v>
      </c>
      <c r="G511" s="7">
        <v>2776.0068344443771</v>
      </c>
      <c r="H511" s="7">
        <v>2430.8027212966122</v>
      </c>
    </row>
    <row r="512" spans="1:8" x14ac:dyDescent="0.3">
      <c r="A512" s="7">
        <v>509</v>
      </c>
      <c r="B512" s="7">
        <v>847.11433295939548</v>
      </c>
      <c r="C512" s="7">
        <v>504.65753397135478</v>
      </c>
      <c r="D512" s="7">
        <v>129</v>
      </c>
      <c r="E512" s="7">
        <v>146</v>
      </c>
      <c r="F512" s="7">
        <v>5992.1054545454544</v>
      </c>
      <c r="G512" s="7">
        <v>2100.2129903062601</v>
      </c>
      <c r="H512" s="7">
        <v>1850.155361858484</v>
      </c>
    </row>
    <row r="513" spans="1:8" x14ac:dyDescent="0.3">
      <c r="A513" s="7">
        <v>510</v>
      </c>
      <c r="B513" s="7">
        <v>1277.9923838871889</v>
      </c>
      <c r="C513" s="7">
        <v>888.7398018503734</v>
      </c>
      <c r="D513" s="7">
        <v>129</v>
      </c>
      <c r="E513" s="7">
        <v>146</v>
      </c>
      <c r="F513" s="7">
        <v>8137.7490909090911</v>
      </c>
      <c r="G513" s="7">
        <v>2709.967264312138</v>
      </c>
      <c r="H513" s="7">
        <v>2297.5605809831591</v>
      </c>
    </row>
    <row r="514" spans="1:8" x14ac:dyDescent="0.3">
      <c r="A514" s="7">
        <v>511</v>
      </c>
      <c r="B514" s="7">
        <v>707.49421670216839</v>
      </c>
      <c r="C514" s="7">
        <v>493.28025083472181</v>
      </c>
      <c r="D514" s="7">
        <v>131</v>
      </c>
      <c r="E514" s="7">
        <v>146</v>
      </c>
      <c r="F514" s="7">
        <v>5787.5054151624536</v>
      </c>
      <c r="G514" s="7">
        <v>1079.9315605965589</v>
      </c>
      <c r="H514" s="7">
        <v>935.76320034680123</v>
      </c>
    </row>
    <row r="515" spans="1:8" x14ac:dyDescent="0.3">
      <c r="A515" s="7">
        <v>512</v>
      </c>
      <c r="B515" s="7">
        <v>2125.694531309709</v>
      </c>
      <c r="C515" s="7">
        <v>895.91659602340587</v>
      </c>
      <c r="D515" s="7">
        <v>135</v>
      </c>
      <c r="E515" s="7">
        <v>201</v>
      </c>
      <c r="F515" s="7">
        <v>6298.3065476190477</v>
      </c>
      <c r="G515" s="7">
        <v>1520.3255718577011</v>
      </c>
      <c r="H515" s="7">
        <v>1193.007404279901</v>
      </c>
    </row>
    <row r="516" spans="1:8" x14ac:dyDescent="0.3">
      <c r="A516" s="7">
        <v>513</v>
      </c>
      <c r="B516" s="7">
        <v>1547.3259519060091</v>
      </c>
      <c r="C516" s="7">
        <v>1100.8145412656279</v>
      </c>
      <c r="D516" s="7">
        <v>131</v>
      </c>
      <c r="E516" s="7">
        <v>146</v>
      </c>
      <c r="F516" s="7">
        <v>17680.927797833931</v>
      </c>
      <c r="G516" s="7">
        <v>4142.8993332563832</v>
      </c>
      <c r="H516" s="7">
        <v>3761.4760373358831</v>
      </c>
    </row>
    <row r="517" spans="1:8" x14ac:dyDescent="0.3">
      <c r="A517" s="7">
        <v>514</v>
      </c>
      <c r="B517" s="7">
        <v>1907.6394139316119</v>
      </c>
      <c r="C517" s="7">
        <v>1007.131278611012</v>
      </c>
      <c r="D517" s="7">
        <v>128</v>
      </c>
      <c r="E517" s="7">
        <v>146</v>
      </c>
      <c r="F517" s="7">
        <v>6349.094890510949</v>
      </c>
      <c r="G517" s="7">
        <v>2194.2904053047541</v>
      </c>
      <c r="H517" s="7">
        <v>2153.4453121286292</v>
      </c>
    </row>
    <row r="518" spans="1:8" x14ac:dyDescent="0.3">
      <c r="A518" s="7">
        <v>515</v>
      </c>
      <c r="B518" s="7">
        <v>1439.600118905721</v>
      </c>
      <c r="C518" s="7">
        <v>941.00375011647156</v>
      </c>
      <c r="D518" s="7">
        <v>129</v>
      </c>
      <c r="E518" s="7">
        <v>146</v>
      </c>
      <c r="F518" s="7">
        <v>9311.24</v>
      </c>
      <c r="G518" s="7">
        <v>2750.0246862880699</v>
      </c>
      <c r="H518" s="7">
        <v>2368.921248915135</v>
      </c>
    </row>
    <row r="519" spans="1:8" x14ac:dyDescent="0.3">
      <c r="A519" s="7">
        <v>516</v>
      </c>
      <c r="B519" s="7">
        <v>842.64186650959266</v>
      </c>
      <c r="C519" s="7">
        <v>594.20613539252861</v>
      </c>
      <c r="D519" s="7">
        <v>129</v>
      </c>
      <c r="E519" s="7">
        <v>146</v>
      </c>
      <c r="F519" s="7">
        <v>6212.0290909090909</v>
      </c>
      <c r="G519" s="7">
        <v>2349.5742051989828</v>
      </c>
      <c r="H519" s="7">
        <v>2080.6743308920009</v>
      </c>
    </row>
    <row r="520" spans="1:8" x14ac:dyDescent="0.3">
      <c r="A520" s="7">
        <v>517</v>
      </c>
      <c r="B520" s="7">
        <v>1017.54058294519</v>
      </c>
      <c r="C520" s="7">
        <v>550.36818447678058</v>
      </c>
      <c r="D520" s="7">
        <v>131</v>
      </c>
      <c r="E520" s="7">
        <v>146</v>
      </c>
      <c r="F520" s="7">
        <v>5963.7797833935019</v>
      </c>
      <c r="G520" s="7">
        <v>2249.2548655903088</v>
      </c>
      <c r="H520" s="7">
        <v>1900.2851588463</v>
      </c>
    </row>
    <row r="521" spans="1:8" x14ac:dyDescent="0.3">
      <c r="A521" s="7">
        <v>518</v>
      </c>
      <c r="B521" s="7">
        <v>2142.4845095591559</v>
      </c>
      <c r="C521" s="7">
        <v>1019.616428383795</v>
      </c>
      <c r="D521" s="7">
        <v>128</v>
      </c>
      <c r="E521" s="7">
        <v>146</v>
      </c>
      <c r="F521" s="7">
        <v>6208.2007299270072</v>
      </c>
      <c r="G521" s="7">
        <v>2911.6446624931759</v>
      </c>
      <c r="H521" s="7">
        <v>2413.798753968013</v>
      </c>
    </row>
    <row r="522" spans="1:8" x14ac:dyDescent="0.3">
      <c r="A522" s="7">
        <v>519</v>
      </c>
      <c r="B522" s="7">
        <v>1139.4653134184341</v>
      </c>
      <c r="C522" s="7">
        <v>596.92950039758466</v>
      </c>
      <c r="D522" s="7">
        <v>131</v>
      </c>
      <c r="E522" s="7">
        <v>146</v>
      </c>
      <c r="F522" s="7">
        <v>5341.7509025270756</v>
      </c>
      <c r="G522" s="7">
        <v>2086.3942799967249</v>
      </c>
      <c r="H522" s="7">
        <v>1804.7034306507931</v>
      </c>
    </row>
    <row r="523" spans="1:8" x14ac:dyDescent="0.3">
      <c r="A523" s="7">
        <v>520</v>
      </c>
      <c r="B523" s="7">
        <v>700.85144983062025</v>
      </c>
      <c r="C523" s="7">
        <v>471.71511672011383</v>
      </c>
      <c r="D523" s="7">
        <v>131</v>
      </c>
      <c r="E523" s="7">
        <v>146</v>
      </c>
      <c r="F523" s="7">
        <v>3806.8916967509031</v>
      </c>
      <c r="G523" s="7">
        <v>1108.1348816956061</v>
      </c>
      <c r="H523" s="7">
        <v>987.91847384230243</v>
      </c>
    </row>
    <row r="524" spans="1:8" x14ac:dyDescent="0.3">
      <c r="A524" s="7">
        <v>521</v>
      </c>
      <c r="B524" s="7">
        <v>1027.821316924586</v>
      </c>
      <c r="C524" s="7">
        <v>617.12646550904981</v>
      </c>
      <c r="D524" s="7">
        <v>129</v>
      </c>
      <c r="E524" s="7">
        <v>146</v>
      </c>
      <c r="F524" s="7">
        <v>5170.6945454545457</v>
      </c>
      <c r="G524" s="7">
        <v>1868.4946351409169</v>
      </c>
      <c r="H524" s="7">
        <v>1643.2271497737081</v>
      </c>
    </row>
    <row r="525" spans="1:8" x14ac:dyDescent="0.3">
      <c r="A525" s="7">
        <v>522</v>
      </c>
      <c r="B525" s="7">
        <v>1761.468065747174</v>
      </c>
      <c r="C525" s="7">
        <v>1029.914625915156</v>
      </c>
      <c r="D525" s="7">
        <v>128</v>
      </c>
      <c r="E525" s="7">
        <v>146</v>
      </c>
      <c r="F525" s="7">
        <v>8693.7116788321164</v>
      </c>
      <c r="G525" s="7">
        <v>2620.4427002536231</v>
      </c>
      <c r="H525" s="7">
        <v>2214.2597281790631</v>
      </c>
    </row>
    <row r="526" spans="1:8" x14ac:dyDescent="0.3">
      <c r="A526" s="7">
        <v>523</v>
      </c>
      <c r="B526" s="7">
        <v>1645.710887078407</v>
      </c>
      <c r="C526" s="7">
        <v>1204.219099782636</v>
      </c>
      <c r="D526" s="7">
        <v>131</v>
      </c>
      <c r="E526" s="7">
        <v>146</v>
      </c>
      <c r="F526" s="7">
        <v>13993.920577617329</v>
      </c>
      <c r="G526" s="7">
        <v>3525.6354437807022</v>
      </c>
      <c r="H526" s="7">
        <v>2867.6833963399508</v>
      </c>
    </row>
    <row r="527" spans="1:8" x14ac:dyDescent="0.3">
      <c r="A527" s="7">
        <v>524</v>
      </c>
      <c r="B527" s="7">
        <v>1410.7106630014191</v>
      </c>
      <c r="C527" s="7">
        <v>1170.3437738973389</v>
      </c>
      <c r="D527" s="7">
        <v>131</v>
      </c>
      <c r="E527" s="7">
        <v>181</v>
      </c>
      <c r="F527" s="7">
        <v>7680.958333333333</v>
      </c>
      <c r="G527" s="7">
        <v>3022.239582098523</v>
      </c>
      <c r="H527" s="7">
        <v>2810.046671915351</v>
      </c>
    </row>
    <row r="528" spans="1:8" x14ac:dyDescent="0.3">
      <c r="A528" s="7">
        <v>525</v>
      </c>
      <c r="B528" s="7">
        <v>1110.355473025679</v>
      </c>
      <c r="C528" s="7">
        <v>941.17454354507095</v>
      </c>
      <c r="D528" s="7">
        <v>131</v>
      </c>
      <c r="E528" s="7">
        <v>144</v>
      </c>
      <c r="F528" s="7">
        <v>10164.98909090909</v>
      </c>
      <c r="G528" s="7">
        <v>2146.673128141304</v>
      </c>
      <c r="H528" s="7">
        <v>2061.2084154554691</v>
      </c>
    </row>
    <row r="529" spans="1:8" x14ac:dyDescent="0.3">
      <c r="A529" s="7">
        <v>526</v>
      </c>
      <c r="B529" s="7">
        <v>1132.1893844789281</v>
      </c>
      <c r="C529" s="7">
        <v>766.49116171394553</v>
      </c>
      <c r="D529" s="7">
        <v>131</v>
      </c>
      <c r="E529" s="7">
        <v>146</v>
      </c>
      <c r="F529" s="7">
        <v>10873.624548736459</v>
      </c>
      <c r="G529" s="7">
        <v>3915.1794690421489</v>
      </c>
      <c r="H529" s="7">
        <v>3442.3124365691888</v>
      </c>
    </row>
    <row r="530" spans="1:8" x14ac:dyDescent="0.3">
      <c r="A530" s="7">
        <v>527</v>
      </c>
      <c r="B530" s="7">
        <v>1422.8796589087319</v>
      </c>
      <c r="C530" s="7">
        <v>847.49355350410963</v>
      </c>
      <c r="D530" s="7">
        <v>129</v>
      </c>
      <c r="E530" s="7">
        <v>146</v>
      </c>
      <c r="F530" s="7">
        <v>10983.385454545451</v>
      </c>
      <c r="G530" s="7">
        <v>3068.002634091225</v>
      </c>
      <c r="H530" s="7">
        <v>2575.1266121286449</v>
      </c>
    </row>
    <row r="531" spans="1:8" x14ac:dyDescent="0.3">
      <c r="A531" s="7">
        <v>528</v>
      </c>
      <c r="B531" s="7">
        <v>1197.798805211984</v>
      </c>
      <c r="C531" s="7">
        <v>625.49612609351414</v>
      </c>
      <c r="D531" s="7">
        <v>129</v>
      </c>
      <c r="E531" s="7">
        <v>146</v>
      </c>
      <c r="F531" s="7">
        <v>10787.756363636359</v>
      </c>
      <c r="G531" s="7">
        <v>3783.5955337206301</v>
      </c>
      <c r="H531" s="7">
        <v>3335.8592770736532</v>
      </c>
    </row>
    <row r="532" spans="1:8" x14ac:dyDescent="0.3">
      <c r="A532" s="7">
        <v>529</v>
      </c>
      <c r="B532" s="7">
        <v>1289.0782809279419</v>
      </c>
      <c r="C532" s="7">
        <v>708.75574518637302</v>
      </c>
      <c r="D532" s="7">
        <v>131</v>
      </c>
      <c r="E532" s="7">
        <v>146</v>
      </c>
      <c r="F532" s="7">
        <v>7996.7653429602888</v>
      </c>
      <c r="G532" s="7">
        <v>2559.2544074666371</v>
      </c>
      <c r="H532" s="7">
        <v>2262.961741273094</v>
      </c>
    </row>
    <row r="533" spans="1:8" x14ac:dyDescent="0.3">
      <c r="A533" s="7">
        <v>530</v>
      </c>
      <c r="B533" s="7">
        <v>1086.801784783436</v>
      </c>
      <c r="C533" s="7">
        <v>1269.4857859286619</v>
      </c>
      <c r="D533" s="7">
        <v>131</v>
      </c>
      <c r="E533" s="7">
        <v>187</v>
      </c>
      <c r="F533" s="7">
        <v>4132.9276729559751</v>
      </c>
      <c r="G533" s="7">
        <v>1487.782837309386</v>
      </c>
      <c r="H533" s="7">
        <v>1713.0399769318999</v>
      </c>
    </row>
    <row r="534" spans="1:8" x14ac:dyDescent="0.3">
      <c r="A534" s="7">
        <v>531</v>
      </c>
      <c r="B534" s="7">
        <v>820.08470492797562</v>
      </c>
      <c r="C534" s="7">
        <v>553.33883300263381</v>
      </c>
      <c r="D534" s="7">
        <v>131</v>
      </c>
      <c r="E534" s="7">
        <v>146</v>
      </c>
      <c r="F534" s="7">
        <v>5127.5703971119137</v>
      </c>
      <c r="G534" s="7">
        <v>1213.911100659906</v>
      </c>
      <c r="H534" s="7">
        <v>1052.9403578837091</v>
      </c>
    </row>
    <row r="535" spans="1:8" x14ac:dyDescent="0.3">
      <c r="A535" s="7">
        <v>532</v>
      </c>
      <c r="B535" s="7">
        <v>1768.3857710013469</v>
      </c>
      <c r="C535" s="7">
        <v>1442.740907525874</v>
      </c>
      <c r="D535" s="7">
        <v>129</v>
      </c>
      <c r="E535" s="7">
        <v>146</v>
      </c>
      <c r="F535" s="7">
        <v>11646.301818181821</v>
      </c>
      <c r="G535" s="7">
        <v>3052.8421907888501</v>
      </c>
      <c r="H535" s="7">
        <v>2478.0132978072552</v>
      </c>
    </row>
    <row r="536" spans="1:8" x14ac:dyDescent="0.3">
      <c r="A536" s="7">
        <v>533</v>
      </c>
      <c r="B536" s="7">
        <v>1511.191693842366</v>
      </c>
      <c r="C536" s="7">
        <v>764.94296326550159</v>
      </c>
      <c r="D536" s="7">
        <v>128</v>
      </c>
      <c r="E536" s="7">
        <v>146</v>
      </c>
      <c r="F536" s="7">
        <v>11035.56934306569</v>
      </c>
      <c r="G536" s="7">
        <v>3564.5912250302281</v>
      </c>
      <c r="H536" s="7">
        <v>2973.7560055966119</v>
      </c>
    </row>
    <row r="537" spans="1:8" x14ac:dyDescent="0.3">
      <c r="A537" s="7">
        <v>534</v>
      </c>
      <c r="B537" s="7">
        <v>1699.7763440253891</v>
      </c>
      <c r="C537" s="7">
        <v>1001.433456737669</v>
      </c>
      <c r="D537" s="7">
        <v>128</v>
      </c>
      <c r="E537" s="7">
        <v>146</v>
      </c>
      <c r="F537" s="7">
        <v>7698.7153284671531</v>
      </c>
      <c r="G537" s="7">
        <v>3633.270368457665</v>
      </c>
      <c r="H537" s="7">
        <v>3211.9227107762099</v>
      </c>
    </row>
    <row r="538" spans="1:8" x14ac:dyDescent="0.3">
      <c r="A538" s="7">
        <v>535</v>
      </c>
      <c r="B538" s="7">
        <v>1091.428064614536</v>
      </c>
      <c r="C538" s="7">
        <v>943.99320822582342</v>
      </c>
      <c r="D538" s="7">
        <v>129</v>
      </c>
      <c r="E538" s="7">
        <v>146</v>
      </c>
      <c r="F538" s="7">
        <v>8309.0036363636373</v>
      </c>
      <c r="G538" s="7">
        <v>2478.3363183750389</v>
      </c>
      <c r="H538" s="7">
        <v>2253.1181529069672</v>
      </c>
    </row>
    <row r="539" spans="1:8" x14ac:dyDescent="0.3">
      <c r="A539" s="7">
        <v>536</v>
      </c>
      <c r="B539" s="7">
        <v>1402.5378581073619</v>
      </c>
      <c r="C539" s="7">
        <v>728.34072407665428</v>
      </c>
      <c r="D539" s="7">
        <v>129</v>
      </c>
      <c r="E539" s="7">
        <v>146</v>
      </c>
      <c r="F539" s="7">
        <v>8356.6327272727267</v>
      </c>
      <c r="G539" s="7">
        <v>3118.2193761054368</v>
      </c>
      <c r="H539" s="7">
        <v>2426.829652938904</v>
      </c>
    </row>
    <row r="540" spans="1:8" x14ac:dyDescent="0.3">
      <c r="A540" s="7">
        <v>537</v>
      </c>
      <c r="B540" s="7">
        <v>848.56900412849359</v>
      </c>
      <c r="C540" s="7">
        <v>483.10423388342508</v>
      </c>
      <c r="D540" s="7">
        <v>128</v>
      </c>
      <c r="E540" s="7">
        <v>146</v>
      </c>
      <c r="F540" s="7">
        <v>6144.9781021897807</v>
      </c>
      <c r="G540" s="7">
        <v>1730.091668001294</v>
      </c>
      <c r="H540" s="7">
        <v>1521.5150929524791</v>
      </c>
    </row>
    <row r="541" spans="1:8" x14ac:dyDescent="0.3">
      <c r="A541" s="7">
        <v>538</v>
      </c>
      <c r="B541" s="7">
        <v>659.16496192358545</v>
      </c>
      <c r="C541" s="7">
        <v>474.36874715759558</v>
      </c>
      <c r="D541" s="7">
        <v>131</v>
      </c>
      <c r="E541" s="7">
        <v>146</v>
      </c>
      <c r="F541" s="7">
        <v>4010.7797833935019</v>
      </c>
      <c r="G541" s="7">
        <v>1111.243303417084</v>
      </c>
      <c r="H541" s="7">
        <v>938.28288589987767</v>
      </c>
    </row>
    <row r="542" spans="1:8" x14ac:dyDescent="0.3">
      <c r="A542" s="7">
        <v>539</v>
      </c>
      <c r="B542" s="7">
        <v>1336.6890190379791</v>
      </c>
      <c r="C542" s="7">
        <v>1065.2336974418261</v>
      </c>
      <c r="D542" s="7">
        <v>128</v>
      </c>
      <c r="E542" s="7">
        <v>146</v>
      </c>
      <c r="F542" s="7">
        <v>11394.16058394161</v>
      </c>
      <c r="G542" s="7">
        <v>2110.735518649245</v>
      </c>
      <c r="H542" s="7">
        <v>1979.089196561187</v>
      </c>
    </row>
    <row r="543" spans="1:8" x14ac:dyDescent="0.3">
      <c r="A543" s="7">
        <v>540</v>
      </c>
      <c r="B543" s="7">
        <v>1897.85597507638</v>
      </c>
      <c r="C543" s="7">
        <v>1095.981874727682</v>
      </c>
      <c r="D543" s="7">
        <v>128</v>
      </c>
      <c r="E543" s="7">
        <v>146</v>
      </c>
      <c r="F543" s="7">
        <v>6986.7007299270072</v>
      </c>
      <c r="G543" s="7">
        <v>2524.911454202404</v>
      </c>
      <c r="H543" s="7">
        <v>2441.98262562116</v>
      </c>
    </row>
    <row r="544" spans="1:8" x14ac:dyDescent="0.3">
      <c r="A544" s="7">
        <v>541</v>
      </c>
      <c r="B544" s="7">
        <v>1261.578904290418</v>
      </c>
      <c r="C544" s="7">
        <v>802.35343769268013</v>
      </c>
      <c r="D544" s="7">
        <v>129</v>
      </c>
      <c r="E544" s="7">
        <v>146</v>
      </c>
      <c r="F544" s="7">
        <v>6993.5163636363641</v>
      </c>
      <c r="G544" s="7">
        <v>2853.336491159595</v>
      </c>
      <c r="H544" s="7">
        <v>2397.0607886863309</v>
      </c>
    </row>
    <row r="545" spans="1:8" x14ac:dyDescent="0.3">
      <c r="A545" s="7">
        <v>542</v>
      </c>
      <c r="B545" s="7">
        <v>1788.401579054869</v>
      </c>
      <c r="C545" s="7">
        <v>906.95519255339934</v>
      </c>
      <c r="D545" s="7">
        <v>128</v>
      </c>
      <c r="E545" s="7">
        <v>146</v>
      </c>
      <c r="F545" s="7">
        <v>6301.9379562043796</v>
      </c>
      <c r="G545" s="7">
        <v>1725.457611403421</v>
      </c>
      <c r="H545" s="7">
        <v>1672.651309780251</v>
      </c>
    </row>
    <row r="546" spans="1:8" x14ac:dyDescent="0.3">
      <c r="A546" s="7">
        <v>543</v>
      </c>
      <c r="B546" s="7">
        <v>803.46665378617593</v>
      </c>
      <c r="C546" s="7">
        <v>379.1421816959525</v>
      </c>
      <c r="D546" s="7">
        <v>129</v>
      </c>
      <c r="E546" s="7">
        <v>146</v>
      </c>
      <c r="F546" s="7">
        <v>2767.7381818181821</v>
      </c>
      <c r="G546" s="7">
        <v>1757.6245928247381</v>
      </c>
      <c r="H546" s="7">
        <v>1444.0662527965101</v>
      </c>
    </row>
    <row r="547" spans="1:8" x14ac:dyDescent="0.3">
      <c r="A547" s="7">
        <v>544</v>
      </c>
      <c r="B547" s="7">
        <v>1665.6364113396619</v>
      </c>
      <c r="C547" s="7">
        <v>1077.6895528794489</v>
      </c>
      <c r="D547" s="7">
        <v>131</v>
      </c>
      <c r="E547" s="7">
        <v>146</v>
      </c>
      <c r="F547" s="7">
        <v>13342.638989169671</v>
      </c>
      <c r="G547" s="7">
        <v>4640.6913113595747</v>
      </c>
      <c r="H547" s="7">
        <v>4113.4203579376481</v>
      </c>
    </row>
    <row r="548" spans="1:8" x14ac:dyDescent="0.3">
      <c r="A548" s="7">
        <v>545</v>
      </c>
      <c r="B548" s="7">
        <v>1330.690172237124</v>
      </c>
      <c r="C548" s="7">
        <v>738.40330446381938</v>
      </c>
      <c r="D548" s="7">
        <v>129</v>
      </c>
      <c r="E548" s="7">
        <v>146</v>
      </c>
      <c r="F548" s="7">
        <v>11165.301818181821</v>
      </c>
      <c r="G548" s="7">
        <v>4217.6484033479564</v>
      </c>
      <c r="H548" s="7">
        <v>3663.191543950607</v>
      </c>
    </row>
    <row r="549" spans="1:8" x14ac:dyDescent="0.3">
      <c r="A549" s="7">
        <v>546</v>
      </c>
      <c r="B549" s="7">
        <v>1164.1837174711579</v>
      </c>
      <c r="C549" s="7">
        <v>1338.775499764097</v>
      </c>
      <c r="D549" s="7">
        <v>131</v>
      </c>
      <c r="E549" s="7">
        <v>146</v>
      </c>
      <c r="F549" s="7">
        <v>14254.920577617329</v>
      </c>
      <c r="G549" s="7">
        <v>2652.271706689733</v>
      </c>
      <c r="H549" s="7">
        <v>2600.4518601028421</v>
      </c>
    </row>
    <row r="550" spans="1:8" x14ac:dyDescent="0.3">
      <c r="A550" s="7">
        <v>547</v>
      </c>
      <c r="B550" s="7">
        <v>2175.860833125701</v>
      </c>
      <c r="C550" s="7">
        <v>1089.8118263471829</v>
      </c>
      <c r="D550" s="7">
        <v>128</v>
      </c>
      <c r="E550" s="7">
        <v>146</v>
      </c>
      <c r="F550" s="7">
        <v>6043.554744525547</v>
      </c>
      <c r="G550" s="7">
        <v>1507.5082141152659</v>
      </c>
      <c r="H550" s="7">
        <v>1601.45452721572</v>
      </c>
    </row>
    <row r="551" spans="1:8" x14ac:dyDescent="0.3">
      <c r="A551" s="7">
        <v>548</v>
      </c>
      <c r="B551" s="7">
        <v>737.94745000918522</v>
      </c>
      <c r="C551" s="7">
        <v>506.50566069169042</v>
      </c>
      <c r="D551" s="7">
        <v>129</v>
      </c>
      <c r="E551" s="7">
        <v>146</v>
      </c>
      <c r="F551" s="7">
        <v>5416.5818181818186</v>
      </c>
      <c r="G551" s="7">
        <v>1978.5268421520791</v>
      </c>
      <c r="H551" s="7">
        <v>1820.9196645260149</v>
      </c>
    </row>
    <row r="552" spans="1:8" x14ac:dyDescent="0.3">
      <c r="A552" s="7">
        <v>549</v>
      </c>
      <c r="B552" s="7">
        <v>634.18411088671951</v>
      </c>
      <c r="C552" s="7">
        <v>541.19338592845304</v>
      </c>
      <c r="D552" s="7">
        <v>131</v>
      </c>
      <c r="E552" s="7">
        <v>146</v>
      </c>
      <c r="F552" s="7">
        <v>4930.5126353790611</v>
      </c>
      <c r="G552" s="7">
        <v>1108.3905393796269</v>
      </c>
      <c r="H552" s="7">
        <v>1069.646917163444</v>
      </c>
    </row>
    <row r="553" spans="1:8" x14ac:dyDescent="0.3">
      <c r="A553" s="7">
        <v>550</v>
      </c>
      <c r="B553" s="7">
        <v>886.62442311791801</v>
      </c>
      <c r="C553" s="7">
        <v>646.40610318537051</v>
      </c>
      <c r="D553" s="7">
        <v>129</v>
      </c>
      <c r="E553" s="7">
        <v>146</v>
      </c>
      <c r="F553" s="7">
        <v>6757.3454545454542</v>
      </c>
      <c r="G553" s="7">
        <v>2026.7637529020301</v>
      </c>
      <c r="H553" s="7">
        <v>1728.426455970467</v>
      </c>
    </row>
    <row r="554" spans="1:8" x14ac:dyDescent="0.3">
      <c r="A554" s="7">
        <v>551</v>
      </c>
      <c r="B554" s="7">
        <v>1187.6363552439609</v>
      </c>
      <c r="C554" s="7">
        <v>767.55617891361635</v>
      </c>
      <c r="D554" s="7">
        <v>131</v>
      </c>
      <c r="E554" s="7">
        <v>146</v>
      </c>
      <c r="F554" s="7">
        <v>6726.2599277978343</v>
      </c>
      <c r="G554" s="7">
        <v>2301.4434882853402</v>
      </c>
      <c r="H554" s="7">
        <v>1806.363782973506</v>
      </c>
    </row>
    <row r="555" spans="1:8" x14ac:dyDescent="0.3">
      <c r="A555" s="7">
        <v>552</v>
      </c>
      <c r="B555" s="7">
        <v>1061.9158274344111</v>
      </c>
      <c r="C555" s="7">
        <v>614.48826090234775</v>
      </c>
      <c r="D555" s="7">
        <v>129</v>
      </c>
      <c r="E555" s="7">
        <v>146</v>
      </c>
      <c r="F555" s="7">
        <v>7694.6327272727276</v>
      </c>
      <c r="G555" s="7">
        <v>3631.3613267301448</v>
      </c>
      <c r="H555" s="7">
        <v>3314.012714817582</v>
      </c>
    </row>
    <row r="556" spans="1:8" x14ac:dyDescent="0.3">
      <c r="A556" s="7">
        <v>553</v>
      </c>
      <c r="B556" s="7">
        <v>1274.9604858939631</v>
      </c>
      <c r="C556" s="7">
        <v>966.12543439354101</v>
      </c>
      <c r="D556" s="7">
        <v>128</v>
      </c>
      <c r="E556" s="7">
        <v>146</v>
      </c>
      <c r="F556" s="7">
        <v>7400.8613138686133</v>
      </c>
      <c r="G556" s="7">
        <v>2240.8172250180291</v>
      </c>
      <c r="H556" s="7">
        <v>2076.0327088509889</v>
      </c>
    </row>
    <row r="557" spans="1:8" x14ac:dyDescent="0.3">
      <c r="A557" s="7">
        <v>554</v>
      </c>
      <c r="B557" s="7">
        <v>682.55211632299233</v>
      </c>
      <c r="C557" s="7">
        <v>811.19948283746817</v>
      </c>
      <c r="D557" s="7">
        <v>131</v>
      </c>
      <c r="E557" s="7">
        <v>146</v>
      </c>
      <c r="F557" s="7">
        <v>5046.6209386281589</v>
      </c>
      <c r="G557" s="7">
        <v>1012.3807780151971</v>
      </c>
      <c r="H557" s="7">
        <v>850.26077385802284</v>
      </c>
    </row>
    <row r="558" spans="1:8" x14ac:dyDescent="0.3">
      <c r="A558" s="7">
        <v>555</v>
      </c>
      <c r="B558" s="7">
        <v>2203.8910354290838</v>
      </c>
      <c r="C558" s="7">
        <v>903.14411005149702</v>
      </c>
      <c r="D558" s="7">
        <v>128</v>
      </c>
      <c r="E558" s="7">
        <v>146</v>
      </c>
      <c r="F558" s="7">
        <v>4781.9744525547449</v>
      </c>
      <c r="G558" s="7">
        <v>1714.120604074433</v>
      </c>
      <c r="H558" s="7">
        <v>1538.3848183452239</v>
      </c>
    </row>
    <row r="559" spans="1:8" x14ac:dyDescent="0.3">
      <c r="A559" s="7">
        <v>556</v>
      </c>
      <c r="B559" s="7">
        <v>937.31822649661422</v>
      </c>
      <c r="C559" s="7">
        <v>712.85116254979846</v>
      </c>
      <c r="D559" s="7">
        <v>131</v>
      </c>
      <c r="E559" s="7">
        <v>144</v>
      </c>
      <c r="F559" s="7">
        <v>7498.3818181818178</v>
      </c>
      <c r="G559" s="7">
        <v>2252.2786832840138</v>
      </c>
      <c r="H559" s="7">
        <v>2047.686604574918</v>
      </c>
    </row>
    <row r="560" spans="1:8" x14ac:dyDescent="0.3">
      <c r="A560" s="7">
        <v>557</v>
      </c>
      <c r="B560" s="7">
        <v>1032.1839434045201</v>
      </c>
      <c r="C560" s="7">
        <v>508.75703747008362</v>
      </c>
      <c r="D560" s="7">
        <v>129</v>
      </c>
      <c r="E560" s="7">
        <v>146</v>
      </c>
      <c r="F560" s="7">
        <v>4270.1745454545453</v>
      </c>
      <c r="G560" s="7">
        <v>1752.167121068946</v>
      </c>
      <c r="H560" s="7">
        <v>1446.8032404022169</v>
      </c>
    </row>
    <row r="561" spans="1:8" x14ac:dyDescent="0.3">
      <c r="A561" s="7">
        <v>558</v>
      </c>
      <c r="B561" s="7">
        <v>541.82623028431135</v>
      </c>
      <c r="C561" s="7">
        <v>392.08267535691328</v>
      </c>
      <c r="D561" s="7">
        <v>131</v>
      </c>
      <c r="E561" s="7">
        <v>146</v>
      </c>
      <c r="F561" s="7">
        <v>3130.26714801444</v>
      </c>
      <c r="G561" s="7">
        <v>994.25232179226668</v>
      </c>
      <c r="H561" s="7">
        <v>858.86934276710883</v>
      </c>
    </row>
    <row r="562" spans="1:8" x14ac:dyDescent="0.3">
      <c r="A562" s="7">
        <v>559</v>
      </c>
      <c r="B562" s="7">
        <v>886.29425200646165</v>
      </c>
      <c r="C562" s="7">
        <v>651.02042544598055</v>
      </c>
      <c r="D562" s="7">
        <v>130</v>
      </c>
      <c r="E562" s="7">
        <v>146</v>
      </c>
      <c r="F562" s="7">
        <v>5959.007246376812</v>
      </c>
      <c r="G562" s="7">
        <v>2288.7481075906981</v>
      </c>
      <c r="H562" s="7">
        <v>1915.78304209625</v>
      </c>
    </row>
    <row r="563" spans="1:8" x14ac:dyDescent="0.3">
      <c r="A563" s="7">
        <v>560</v>
      </c>
      <c r="B563" s="7">
        <v>1667.592545760074</v>
      </c>
      <c r="C563" s="7">
        <v>1036.9792401020611</v>
      </c>
      <c r="D563" s="7">
        <v>131</v>
      </c>
      <c r="E563" s="7">
        <v>146</v>
      </c>
      <c r="F563" s="7">
        <v>14087.27436823105</v>
      </c>
      <c r="G563" s="7">
        <v>4330.5551457323581</v>
      </c>
      <c r="H563" s="7">
        <v>3829.975663394192</v>
      </c>
    </row>
    <row r="564" spans="1:8" x14ac:dyDescent="0.3">
      <c r="A564" s="7">
        <v>561</v>
      </c>
      <c r="B564" s="7">
        <v>1122.018506599909</v>
      </c>
      <c r="C564" s="7">
        <v>556.92749374826565</v>
      </c>
      <c r="D564" s="7">
        <v>129</v>
      </c>
      <c r="E564" s="7">
        <v>146</v>
      </c>
      <c r="F564" s="7">
        <v>6884.0836363636363</v>
      </c>
      <c r="G564" s="7">
        <v>2332.494623904337</v>
      </c>
      <c r="H564" s="7">
        <v>1907.244404678667</v>
      </c>
    </row>
    <row r="565" spans="1:8" x14ac:dyDescent="0.3">
      <c r="A565" s="7">
        <v>562</v>
      </c>
      <c r="B565" s="7">
        <v>1161.0381372295269</v>
      </c>
      <c r="C565" s="7">
        <v>1350.2213853554219</v>
      </c>
      <c r="D565" s="7">
        <v>135</v>
      </c>
      <c r="E565" s="7">
        <v>201</v>
      </c>
      <c r="F565" s="7">
        <v>18145.81845238095</v>
      </c>
      <c r="G565" s="7">
        <v>3461.4950184801601</v>
      </c>
      <c r="H565" s="7">
        <v>2677.9454969392332</v>
      </c>
    </row>
    <row r="566" spans="1:8" x14ac:dyDescent="0.3">
      <c r="A566" s="7">
        <v>563</v>
      </c>
      <c r="B566" s="7">
        <v>939.8754519548354</v>
      </c>
      <c r="C566" s="7">
        <v>557.08219739013225</v>
      </c>
      <c r="D566" s="7">
        <v>127</v>
      </c>
      <c r="E566" s="7">
        <v>146</v>
      </c>
      <c r="F566" s="7">
        <v>5056.3516483516487</v>
      </c>
      <c r="G566" s="7">
        <v>1477.086395737379</v>
      </c>
      <c r="H566" s="7">
        <v>1266.9122289607949</v>
      </c>
    </row>
    <row r="567" spans="1:8" x14ac:dyDescent="0.3">
      <c r="A567" s="7">
        <v>564</v>
      </c>
      <c r="B567" s="7">
        <v>784.63698059624414</v>
      </c>
      <c r="C567" s="7">
        <v>602.57851130224958</v>
      </c>
      <c r="D567" s="7">
        <v>129</v>
      </c>
      <c r="E567" s="7">
        <v>146</v>
      </c>
      <c r="F567" s="7">
        <v>5896.3672727272724</v>
      </c>
      <c r="G567" s="7">
        <v>1685.989535311028</v>
      </c>
      <c r="H567" s="7">
        <v>1505.918458652257</v>
      </c>
    </row>
    <row r="568" spans="1:8" x14ac:dyDescent="0.3">
      <c r="A568" s="7">
        <v>565</v>
      </c>
      <c r="B568" s="7">
        <v>1098.764488747466</v>
      </c>
      <c r="C568" s="7">
        <v>566.02723952678753</v>
      </c>
      <c r="D568" s="7">
        <v>129</v>
      </c>
      <c r="E568" s="7">
        <v>146</v>
      </c>
      <c r="F568" s="7">
        <v>6920.9127272727274</v>
      </c>
      <c r="G568" s="7">
        <v>2421.645689394144</v>
      </c>
      <c r="H568" s="7">
        <v>2074.8659818084038</v>
      </c>
    </row>
    <row r="569" spans="1:8" x14ac:dyDescent="0.3">
      <c r="A569" s="7">
        <v>566</v>
      </c>
      <c r="B569" s="7">
        <v>737.4600306200889</v>
      </c>
      <c r="C569" s="7">
        <v>485.99161910445042</v>
      </c>
      <c r="D569" s="7">
        <v>131</v>
      </c>
      <c r="E569" s="7">
        <v>146</v>
      </c>
      <c r="F569" s="7">
        <v>5596.3393501805058</v>
      </c>
      <c r="G569" s="7">
        <v>1630.765724231486</v>
      </c>
      <c r="H569" s="7">
        <v>1522.0553020392369</v>
      </c>
    </row>
    <row r="570" spans="1:8" x14ac:dyDescent="0.3">
      <c r="A570" s="7">
        <v>567</v>
      </c>
      <c r="B570" s="7">
        <v>857.63467726905628</v>
      </c>
      <c r="C570" s="7">
        <v>562.41388632616395</v>
      </c>
      <c r="D570" s="7">
        <v>129</v>
      </c>
      <c r="E570" s="7">
        <v>146</v>
      </c>
      <c r="F570" s="7">
        <v>5153.1927272727271</v>
      </c>
      <c r="G570" s="7">
        <v>1983.975069782728</v>
      </c>
      <c r="H570" s="7">
        <v>1642.446010455222</v>
      </c>
    </row>
    <row r="571" spans="1:8" x14ac:dyDescent="0.3">
      <c r="A571" s="7">
        <v>568</v>
      </c>
      <c r="B571" s="7">
        <v>825.7390161083722</v>
      </c>
      <c r="C571" s="7">
        <v>619.08068053170848</v>
      </c>
      <c r="D571" s="7">
        <v>129</v>
      </c>
      <c r="E571" s="7">
        <v>146</v>
      </c>
      <c r="F571" s="7">
        <v>5381.0327272727272</v>
      </c>
      <c r="G571" s="7">
        <v>1530.276820476224</v>
      </c>
      <c r="H571" s="7">
        <v>1432.323093860278</v>
      </c>
    </row>
    <row r="572" spans="1:8" x14ac:dyDescent="0.3">
      <c r="A572" s="7">
        <v>569</v>
      </c>
      <c r="B572" s="7">
        <v>495.39080853148602</v>
      </c>
      <c r="C572" s="7">
        <v>527.41022101839178</v>
      </c>
      <c r="D572" s="7">
        <v>131</v>
      </c>
      <c r="E572" s="7">
        <v>146</v>
      </c>
      <c r="F572" s="7">
        <v>4565.4729241877258</v>
      </c>
      <c r="G572" s="7">
        <v>776.26331902133268</v>
      </c>
      <c r="H572" s="7">
        <v>712.86215021242322</v>
      </c>
    </row>
    <row r="573" spans="1:8" x14ac:dyDescent="0.3">
      <c r="A573" s="7">
        <v>570</v>
      </c>
      <c r="B573" s="7">
        <v>913.99419326841667</v>
      </c>
      <c r="C573" s="7">
        <v>468.17610989474719</v>
      </c>
      <c r="D573" s="7">
        <v>129</v>
      </c>
      <c r="E573" s="7">
        <v>146</v>
      </c>
      <c r="F573" s="7">
        <v>4260.4290909090914</v>
      </c>
      <c r="G573" s="7">
        <v>1707.527985628765</v>
      </c>
      <c r="H573" s="7">
        <v>1368.02791768357</v>
      </c>
    </row>
    <row r="574" spans="1:8" x14ac:dyDescent="0.3">
      <c r="A574" s="7">
        <v>571</v>
      </c>
      <c r="B574" s="7">
        <v>1738.362933253718</v>
      </c>
      <c r="C574" s="7">
        <v>1148.824970089544</v>
      </c>
      <c r="D574" s="7">
        <v>128</v>
      </c>
      <c r="E574" s="7">
        <v>146</v>
      </c>
      <c r="F574" s="7">
        <v>8469.0072992700734</v>
      </c>
      <c r="G574" s="7">
        <v>2009.138994693996</v>
      </c>
      <c r="H574" s="7">
        <v>2093.315913496725</v>
      </c>
    </row>
    <row r="575" spans="1:8" x14ac:dyDescent="0.3">
      <c r="A575" s="7">
        <v>572</v>
      </c>
      <c r="B575" s="7">
        <v>874.03684154249345</v>
      </c>
      <c r="C575" s="7">
        <v>641.14292234927689</v>
      </c>
      <c r="D575" s="7">
        <v>125</v>
      </c>
      <c r="E575" s="7">
        <v>144</v>
      </c>
      <c r="F575" s="7">
        <v>7051.9442379182155</v>
      </c>
      <c r="G575" s="7">
        <v>2268.067568658395</v>
      </c>
      <c r="H575" s="7">
        <v>1998.5106468456841</v>
      </c>
    </row>
    <row r="576" spans="1:8" x14ac:dyDescent="0.3">
      <c r="A576" s="7">
        <v>573</v>
      </c>
      <c r="B576" s="7">
        <v>2397.072035626054</v>
      </c>
      <c r="C576" s="7">
        <v>1038.3865148619329</v>
      </c>
      <c r="D576" s="7">
        <v>128</v>
      </c>
      <c r="E576" s="7">
        <v>146</v>
      </c>
      <c r="F576" s="7">
        <v>3873.1605839416061</v>
      </c>
      <c r="G576" s="7">
        <v>1254.6017950180451</v>
      </c>
      <c r="H576" s="7">
        <v>1207.4718607572379</v>
      </c>
    </row>
    <row r="577" spans="1:8" x14ac:dyDescent="0.3">
      <c r="A577" s="7">
        <v>574</v>
      </c>
      <c r="B577" s="7">
        <v>1153.6372468413581</v>
      </c>
      <c r="C577" s="7">
        <v>687.46550063486814</v>
      </c>
      <c r="D577" s="7">
        <v>128</v>
      </c>
      <c r="E577" s="7">
        <v>146</v>
      </c>
      <c r="F577" s="7">
        <v>9081.2810218978102</v>
      </c>
      <c r="G577" s="7">
        <v>2909.7610874326951</v>
      </c>
      <c r="H577" s="7">
        <v>2551.1158316119968</v>
      </c>
    </row>
    <row r="578" spans="1:8" x14ac:dyDescent="0.3">
      <c r="A578" s="7">
        <v>575</v>
      </c>
      <c r="B578" s="7">
        <v>1736.495387260177</v>
      </c>
      <c r="C578" s="7">
        <v>979.87324578113589</v>
      </c>
      <c r="D578" s="7">
        <v>128</v>
      </c>
      <c r="E578" s="7">
        <v>146</v>
      </c>
      <c r="F578" s="7">
        <v>5616.1788321167887</v>
      </c>
      <c r="G578" s="7">
        <v>3410.629127723359</v>
      </c>
      <c r="H578" s="7">
        <v>3252.903944991685</v>
      </c>
    </row>
    <row r="579" spans="1:8" x14ac:dyDescent="0.3">
      <c r="A579" s="7">
        <v>576</v>
      </c>
      <c r="B579" s="7">
        <v>1953.188233691345</v>
      </c>
      <c r="C579" s="7">
        <v>2042.256137866648</v>
      </c>
      <c r="D579" s="7">
        <v>131</v>
      </c>
      <c r="E579" s="7">
        <v>146</v>
      </c>
      <c r="F579" s="7">
        <v>7754.7545126353789</v>
      </c>
      <c r="G579" s="7">
        <v>2823.2027330242731</v>
      </c>
      <c r="H579" s="7">
        <v>2706.1195477748788</v>
      </c>
    </row>
    <row r="580" spans="1:8" x14ac:dyDescent="0.3">
      <c r="A580" s="7">
        <v>577</v>
      </c>
      <c r="B580" s="7">
        <v>782.62025001651568</v>
      </c>
      <c r="C580" s="7">
        <v>507.91298395173442</v>
      </c>
      <c r="D580" s="7">
        <v>131</v>
      </c>
      <c r="E580" s="7">
        <v>146</v>
      </c>
      <c r="F580" s="7">
        <v>4759.9277978339351</v>
      </c>
      <c r="G580" s="7">
        <v>1370.8623992061539</v>
      </c>
      <c r="H580" s="7">
        <v>1218.573573812645</v>
      </c>
    </row>
    <row r="581" spans="1:8" x14ac:dyDescent="0.3">
      <c r="A581" s="7">
        <v>578</v>
      </c>
      <c r="B581" s="7">
        <v>1245.0772731101449</v>
      </c>
      <c r="C581" s="7">
        <v>1255.350191058744</v>
      </c>
      <c r="D581" s="7">
        <v>131</v>
      </c>
      <c r="E581" s="7">
        <v>186</v>
      </c>
      <c r="F581" s="7">
        <v>8049.255520504732</v>
      </c>
      <c r="G581" s="7">
        <v>2494.9677933946032</v>
      </c>
      <c r="H581" s="7">
        <v>2302.8078769796598</v>
      </c>
    </row>
    <row r="582" spans="1:8" x14ac:dyDescent="0.3">
      <c r="A582" s="7">
        <v>579</v>
      </c>
      <c r="B582" s="7">
        <v>985.31637594790698</v>
      </c>
      <c r="C582" s="7">
        <v>640.21004157941854</v>
      </c>
      <c r="D582" s="7">
        <v>129</v>
      </c>
      <c r="E582" s="7">
        <v>146</v>
      </c>
      <c r="F582" s="7">
        <v>7834.4581818181814</v>
      </c>
      <c r="G582" s="7">
        <v>2764.034520308559</v>
      </c>
      <c r="H582" s="7">
        <v>2484.7489688811961</v>
      </c>
    </row>
    <row r="583" spans="1:8" x14ac:dyDescent="0.3">
      <c r="A583" s="7">
        <v>580</v>
      </c>
      <c r="B583" s="7">
        <v>1720.6112619688381</v>
      </c>
      <c r="C583" s="7">
        <v>1202.909837957933</v>
      </c>
      <c r="D583" s="7">
        <v>131</v>
      </c>
      <c r="E583" s="7">
        <v>146</v>
      </c>
      <c r="F583" s="7">
        <v>9340.3971119133566</v>
      </c>
      <c r="G583" s="7">
        <v>2731.19278670839</v>
      </c>
      <c r="H583" s="7">
        <v>2240.1051177023292</v>
      </c>
    </row>
    <row r="584" spans="1:8" x14ac:dyDescent="0.3">
      <c r="A584" s="7">
        <v>581</v>
      </c>
      <c r="B584" s="7">
        <v>1156.6931036482861</v>
      </c>
      <c r="C584" s="7">
        <v>351.12660254931137</v>
      </c>
      <c r="D584" s="7">
        <v>129</v>
      </c>
      <c r="E584" s="7">
        <v>146</v>
      </c>
      <c r="F584" s="7">
        <v>5257.2909090909088</v>
      </c>
      <c r="G584" s="7">
        <v>2335.6626136840141</v>
      </c>
      <c r="H584" s="7">
        <v>1853.4999602750811</v>
      </c>
    </row>
    <row r="585" spans="1:8" x14ac:dyDescent="0.3">
      <c r="A585" s="7">
        <v>582</v>
      </c>
      <c r="B585" s="7">
        <v>1205.905299171493</v>
      </c>
      <c r="C585" s="7">
        <v>551.11349507844182</v>
      </c>
      <c r="D585" s="7">
        <v>129</v>
      </c>
      <c r="E585" s="7">
        <v>146</v>
      </c>
      <c r="F585" s="7">
        <v>7004.7890909090911</v>
      </c>
      <c r="G585" s="7">
        <v>2551.8050215910021</v>
      </c>
      <c r="H585" s="7">
        <v>2112.260588687046</v>
      </c>
    </row>
    <row r="586" spans="1:8" x14ac:dyDescent="0.3">
      <c r="A586" s="7">
        <v>583</v>
      </c>
      <c r="B586" s="7">
        <v>589.10236666474907</v>
      </c>
      <c r="C586" s="7">
        <v>383.00571187192492</v>
      </c>
      <c r="D586" s="7">
        <v>130</v>
      </c>
      <c r="E586" s="7">
        <v>146</v>
      </c>
      <c r="F586" s="7">
        <v>4328.565217391304</v>
      </c>
      <c r="G586" s="7">
        <v>1410.2383595581391</v>
      </c>
      <c r="H586" s="7">
        <v>1258.7836485959781</v>
      </c>
    </row>
    <row r="587" spans="1:8" x14ac:dyDescent="0.3">
      <c r="A587" s="7">
        <v>584</v>
      </c>
      <c r="B587" s="7">
        <v>708.37513131830303</v>
      </c>
      <c r="C587" s="7">
        <v>522.4003773094671</v>
      </c>
      <c r="D587" s="7">
        <v>129</v>
      </c>
      <c r="E587" s="7">
        <v>146</v>
      </c>
      <c r="F587" s="7">
        <v>5051.2436363636361</v>
      </c>
      <c r="G587" s="7">
        <v>1624.06614550062</v>
      </c>
      <c r="H587" s="7">
        <v>1452.7047541533429</v>
      </c>
    </row>
    <row r="588" spans="1:8" x14ac:dyDescent="0.3">
      <c r="A588" s="7">
        <v>585</v>
      </c>
      <c r="B588" s="7">
        <v>806.15650852762246</v>
      </c>
      <c r="C588" s="7">
        <v>520.60762595008953</v>
      </c>
      <c r="D588" s="7">
        <v>131</v>
      </c>
      <c r="E588" s="7">
        <v>146</v>
      </c>
      <c r="F588" s="7">
        <v>4925.8628158844767</v>
      </c>
      <c r="G588" s="7">
        <v>1678.478705065625</v>
      </c>
      <c r="H588" s="7">
        <v>1545.8667737524411</v>
      </c>
    </row>
    <row r="589" spans="1:8" x14ac:dyDescent="0.3">
      <c r="A589" s="7">
        <v>586</v>
      </c>
      <c r="B589" s="7">
        <v>1956.7463587176251</v>
      </c>
      <c r="C589" s="7">
        <v>1333.0828311842349</v>
      </c>
      <c r="D589" s="7">
        <v>127</v>
      </c>
      <c r="E589" s="7">
        <v>146</v>
      </c>
      <c r="F589" s="7">
        <v>15442.52014652015</v>
      </c>
      <c r="G589" s="7">
        <v>4452.2429329337219</v>
      </c>
      <c r="H589" s="7">
        <v>3768.2079722220492</v>
      </c>
    </row>
    <row r="590" spans="1:8" x14ac:dyDescent="0.3">
      <c r="A590" s="7">
        <v>587</v>
      </c>
      <c r="B590" s="7">
        <v>1854.4782574545029</v>
      </c>
      <c r="C590" s="7">
        <v>1436.9016574894549</v>
      </c>
      <c r="D590" s="7">
        <v>128</v>
      </c>
      <c r="E590" s="7">
        <v>146</v>
      </c>
      <c r="F590" s="7">
        <v>10650.072992700731</v>
      </c>
      <c r="G590" s="7">
        <v>3070.1657872071828</v>
      </c>
      <c r="H590" s="7">
        <v>3116.4974445549942</v>
      </c>
    </row>
    <row r="591" spans="1:8" x14ac:dyDescent="0.3">
      <c r="A591" s="7">
        <v>588</v>
      </c>
      <c r="B591" s="7">
        <v>1083.278952047177</v>
      </c>
      <c r="C591" s="7">
        <v>671.75997247469161</v>
      </c>
      <c r="D591" s="7">
        <v>131</v>
      </c>
      <c r="E591" s="7">
        <v>146</v>
      </c>
      <c r="F591" s="7">
        <v>6252.4368231046928</v>
      </c>
      <c r="G591" s="7">
        <v>1901.1058031601401</v>
      </c>
      <c r="H591" s="7">
        <v>1578.188822322636</v>
      </c>
    </row>
    <row r="592" spans="1:8" x14ac:dyDescent="0.3">
      <c r="A592" s="7">
        <v>589</v>
      </c>
      <c r="B592" s="7">
        <v>815.20515256902866</v>
      </c>
      <c r="C592" s="7">
        <v>474.9445437915071</v>
      </c>
      <c r="D592" s="7">
        <v>129</v>
      </c>
      <c r="E592" s="7">
        <v>146</v>
      </c>
      <c r="F592" s="7">
        <v>5255.7454545454548</v>
      </c>
      <c r="G592" s="7">
        <v>2203.0200676808759</v>
      </c>
      <c r="H592" s="7">
        <v>1965.779767901382</v>
      </c>
    </row>
    <row r="593" spans="1:8" x14ac:dyDescent="0.3">
      <c r="A593" s="7">
        <v>590</v>
      </c>
      <c r="B593" s="7">
        <v>954.6038204424965</v>
      </c>
      <c r="C593" s="7">
        <v>563.41140165772379</v>
      </c>
      <c r="D593" s="7">
        <v>128</v>
      </c>
      <c r="E593" s="7">
        <v>146</v>
      </c>
      <c r="F593" s="7">
        <v>5228.4124087591244</v>
      </c>
      <c r="G593" s="7">
        <v>1745.4221664292279</v>
      </c>
      <c r="H593" s="7">
        <v>1482.4676253712839</v>
      </c>
    </row>
    <row r="594" spans="1:8" x14ac:dyDescent="0.3">
      <c r="A594" s="7">
        <v>591</v>
      </c>
      <c r="B594" s="7">
        <v>846.70717001059927</v>
      </c>
      <c r="C594" s="7">
        <v>549.91287342791941</v>
      </c>
      <c r="D594" s="7">
        <v>128</v>
      </c>
      <c r="E594" s="7">
        <v>146</v>
      </c>
      <c r="F594" s="7">
        <v>5763.5693430656938</v>
      </c>
      <c r="G594" s="7">
        <v>1498.62589144189</v>
      </c>
      <c r="H594" s="7">
        <v>1303.461781732919</v>
      </c>
    </row>
    <row r="595" spans="1:8" x14ac:dyDescent="0.3">
      <c r="A595" s="7">
        <v>592</v>
      </c>
      <c r="B595" s="7">
        <v>704.48694436919232</v>
      </c>
      <c r="C595" s="7">
        <v>451.23247649600609</v>
      </c>
      <c r="D595" s="7">
        <v>129</v>
      </c>
      <c r="E595" s="7">
        <v>146</v>
      </c>
      <c r="F595" s="7">
        <v>4507.050909090909</v>
      </c>
      <c r="G595" s="7">
        <v>1291.831048304824</v>
      </c>
      <c r="H595" s="7">
        <v>1079.0040975203719</v>
      </c>
    </row>
    <row r="596" spans="1:8" x14ac:dyDescent="0.3">
      <c r="A596" s="7">
        <v>593</v>
      </c>
      <c r="B596" s="7">
        <v>1393.9736776363329</v>
      </c>
      <c r="C596" s="7">
        <v>1189.6909756308639</v>
      </c>
      <c r="D596" s="7">
        <v>131</v>
      </c>
      <c r="E596" s="7">
        <v>146</v>
      </c>
      <c r="F596" s="7">
        <v>9183.7111913357403</v>
      </c>
      <c r="G596" s="7">
        <v>2736.0813079409982</v>
      </c>
      <c r="H596" s="7">
        <v>2486.4432222072301</v>
      </c>
    </row>
    <row r="597" spans="1:8" x14ac:dyDescent="0.3">
      <c r="A597" s="7">
        <v>594</v>
      </c>
      <c r="B597" s="7">
        <v>569.46360677293762</v>
      </c>
      <c r="C597" s="7">
        <v>482.90345245591669</v>
      </c>
      <c r="D597" s="7">
        <v>131</v>
      </c>
      <c r="E597" s="7">
        <v>146</v>
      </c>
      <c r="F597" s="7">
        <v>4320.8483754512636</v>
      </c>
      <c r="G597" s="7">
        <v>1051.9904797409761</v>
      </c>
      <c r="H597" s="7">
        <v>844.20499198544815</v>
      </c>
    </row>
    <row r="598" spans="1:8" x14ac:dyDescent="0.3">
      <c r="A598" s="7">
        <v>595</v>
      </c>
      <c r="B598" s="7">
        <v>2090.0529930862708</v>
      </c>
      <c r="C598" s="7">
        <v>1304.0696309811319</v>
      </c>
      <c r="D598" s="7">
        <v>131</v>
      </c>
      <c r="E598" s="7">
        <v>146</v>
      </c>
      <c r="F598" s="7">
        <v>15902.61010830325</v>
      </c>
      <c r="G598" s="7">
        <v>4707.6069575927404</v>
      </c>
      <c r="H598" s="7">
        <v>4042.2333393636509</v>
      </c>
    </row>
    <row r="599" spans="1:8" x14ac:dyDescent="0.3">
      <c r="A599" s="7">
        <v>596</v>
      </c>
      <c r="B599" s="7">
        <v>695.50249589832163</v>
      </c>
      <c r="C599" s="7">
        <v>568.90532812090203</v>
      </c>
      <c r="D599" s="7">
        <v>131</v>
      </c>
      <c r="E599" s="7">
        <v>146</v>
      </c>
      <c r="F599" s="7">
        <v>4640.3501805054148</v>
      </c>
      <c r="G599" s="7">
        <v>1154.3034282978431</v>
      </c>
      <c r="H599" s="7">
        <v>1235.7684038464511</v>
      </c>
    </row>
    <row r="600" spans="1:8" x14ac:dyDescent="0.3">
      <c r="A600" s="7">
        <v>597</v>
      </c>
      <c r="B600" s="7">
        <v>938.0536765985936</v>
      </c>
      <c r="C600" s="7">
        <v>528.24099162619268</v>
      </c>
      <c r="D600" s="7">
        <v>129</v>
      </c>
      <c r="E600" s="7">
        <v>146</v>
      </c>
      <c r="F600" s="7">
        <v>5237.1963636363625</v>
      </c>
      <c r="G600" s="7">
        <v>1557.609047783312</v>
      </c>
      <c r="H600" s="7">
        <v>1256.189094482153</v>
      </c>
    </row>
    <row r="601" spans="1:8" x14ac:dyDescent="0.3">
      <c r="A601" s="7">
        <v>598</v>
      </c>
      <c r="B601" s="7">
        <v>1839.208364644023</v>
      </c>
      <c r="C601" s="7">
        <v>962.72270729322702</v>
      </c>
      <c r="D601" s="7">
        <v>128</v>
      </c>
      <c r="E601" s="7">
        <v>146</v>
      </c>
      <c r="F601" s="7">
        <v>5875.0912408759123</v>
      </c>
      <c r="G601" s="7">
        <v>1342.790919363473</v>
      </c>
      <c r="H601" s="7">
        <v>1461.677154073267</v>
      </c>
    </row>
    <row r="602" spans="1:8" x14ac:dyDescent="0.3">
      <c r="A602" s="7">
        <v>599</v>
      </c>
      <c r="B602" s="7">
        <v>1309.767361180013</v>
      </c>
      <c r="C602" s="7">
        <v>1131.97523436654</v>
      </c>
      <c r="D602" s="7">
        <v>131</v>
      </c>
      <c r="E602" s="7">
        <v>146</v>
      </c>
      <c r="F602" s="7">
        <v>9898.1805054151628</v>
      </c>
      <c r="G602" s="7">
        <v>2554.991617978214</v>
      </c>
      <c r="H602" s="7">
        <v>2326.5106816979792</v>
      </c>
    </row>
    <row r="603" spans="1:8" x14ac:dyDescent="0.3">
      <c r="A603" s="7">
        <v>600</v>
      </c>
      <c r="B603" s="7">
        <v>1400.9583224194971</v>
      </c>
      <c r="C603" s="7">
        <v>737.19708569159297</v>
      </c>
      <c r="D603" s="7">
        <v>131</v>
      </c>
      <c r="E603" s="7">
        <v>146</v>
      </c>
      <c r="F603" s="7">
        <v>7299.451263537906</v>
      </c>
      <c r="G603" s="7">
        <v>2806.9756741223291</v>
      </c>
      <c r="H603" s="7">
        <v>2260.6506034071099</v>
      </c>
    </row>
    <row r="604" spans="1:8" x14ac:dyDescent="0.3">
      <c r="A604" s="7">
        <v>601</v>
      </c>
      <c r="B604" s="7">
        <v>830.20084925269464</v>
      </c>
      <c r="C604" s="7">
        <v>490.18429522470649</v>
      </c>
      <c r="D604" s="7">
        <v>129</v>
      </c>
      <c r="E604" s="7">
        <v>146</v>
      </c>
      <c r="F604" s="7">
        <v>4973.6000000000004</v>
      </c>
      <c r="G604" s="7">
        <v>1765.6451244308289</v>
      </c>
      <c r="H604" s="7">
        <v>1413.890830588387</v>
      </c>
    </row>
    <row r="605" spans="1:8" x14ac:dyDescent="0.3">
      <c r="A605" s="7">
        <v>602</v>
      </c>
      <c r="B605" s="7">
        <v>1019.671189925485</v>
      </c>
      <c r="C605" s="7">
        <v>571.36970611563083</v>
      </c>
      <c r="D605" s="7">
        <v>129</v>
      </c>
      <c r="E605" s="7">
        <v>146</v>
      </c>
      <c r="F605" s="7">
        <v>6528.1636363636362</v>
      </c>
      <c r="G605" s="7">
        <v>1991.5325192408479</v>
      </c>
      <c r="H605" s="7">
        <v>1640.843293044393</v>
      </c>
    </row>
    <row r="606" spans="1:8" x14ac:dyDescent="0.3">
      <c r="A606" s="7">
        <v>603</v>
      </c>
      <c r="B606" s="7">
        <v>1024.103160843687</v>
      </c>
      <c r="C606" s="7">
        <v>710.22641981888228</v>
      </c>
      <c r="D606" s="7">
        <v>128</v>
      </c>
      <c r="E606" s="7">
        <v>146</v>
      </c>
      <c r="F606" s="7">
        <v>7633.7518248175184</v>
      </c>
      <c r="G606" s="7">
        <v>2545.1015282425369</v>
      </c>
      <c r="H606" s="7">
        <v>2227.1288445913851</v>
      </c>
    </row>
    <row r="607" spans="1:8" x14ac:dyDescent="0.3">
      <c r="A607" s="7">
        <v>604</v>
      </c>
      <c r="B607" s="7">
        <v>1566.620990335379</v>
      </c>
      <c r="C607" s="7">
        <v>892.84684628190928</v>
      </c>
      <c r="D607" s="7">
        <v>128</v>
      </c>
      <c r="E607" s="7">
        <v>146</v>
      </c>
      <c r="F607" s="7">
        <v>7411.5218978102193</v>
      </c>
      <c r="G607" s="7">
        <v>2518.5225734793398</v>
      </c>
      <c r="H607" s="7">
        <v>2553.9193033882611</v>
      </c>
    </row>
    <row r="608" spans="1:8" x14ac:dyDescent="0.3">
      <c r="A608" s="7">
        <v>605</v>
      </c>
      <c r="B608" s="7">
        <v>1133.583834315087</v>
      </c>
      <c r="C608" s="7">
        <v>646.36655940843355</v>
      </c>
      <c r="D608" s="7">
        <v>128</v>
      </c>
      <c r="E608" s="7">
        <v>146</v>
      </c>
      <c r="F608" s="7">
        <v>7338.2007299270072</v>
      </c>
      <c r="G608" s="7">
        <v>2659.3915804418498</v>
      </c>
      <c r="H608" s="7">
        <v>2315.2961007712552</v>
      </c>
    </row>
    <row r="609" spans="1:8" x14ac:dyDescent="0.3">
      <c r="A609" s="7">
        <v>606</v>
      </c>
      <c r="B609" s="7">
        <v>869.25658381870994</v>
      </c>
      <c r="C609" s="7">
        <v>577.83702790887492</v>
      </c>
      <c r="D609" s="7">
        <v>131</v>
      </c>
      <c r="E609" s="7">
        <v>146</v>
      </c>
      <c r="F609" s="7">
        <v>5909.2707581227432</v>
      </c>
      <c r="G609" s="7">
        <v>1636.0886913938591</v>
      </c>
      <c r="H609" s="7">
        <v>1423.8283743927941</v>
      </c>
    </row>
    <row r="610" spans="1:8" x14ac:dyDescent="0.3">
      <c r="A610" s="7">
        <v>607</v>
      </c>
      <c r="B610" s="7">
        <v>647.39248512531742</v>
      </c>
      <c r="C610" s="7">
        <v>412.24240438613373</v>
      </c>
      <c r="D610" s="7">
        <v>131</v>
      </c>
      <c r="E610" s="7">
        <v>146</v>
      </c>
      <c r="F610" s="7">
        <v>3734.992779783393</v>
      </c>
      <c r="G610" s="7">
        <v>1862.291025214754</v>
      </c>
      <c r="H610" s="7">
        <v>1660.8913970746889</v>
      </c>
    </row>
    <row r="611" spans="1:8" x14ac:dyDescent="0.3">
      <c r="A611" s="7">
        <v>608</v>
      </c>
      <c r="B611" s="7">
        <v>1591.503072126641</v>
      </c>
      <c r="C611" s="7">
        <v>975.40678731626269</v>
      </c>
      <c r="D611" s="7">
        <v>130</v>
      </c>
      <c r="E611" s="7">
        <v>146</v>
      </c>
      <c r="F611" s="7">
        <v>9694.673913043478</v>
      </c>
      <c r="G611" s="7">
        <v>3785.1908782273299</v>
      </c>
      <c r="H611" s="7">
        <v>3106.9866915340758</v>
      </c>
    </row>
    <row r="612" spans="1:8" x14ac:dyDescent="0.3">
      <c r="A612" s="7">
        <v>609</v>
      </c>
      <c r="B612" s="7">
        <v>721.67019454020544</v>
      </c>
      <c r="C612" s="7">
        <v>512.60689792424182</v>
      </c>
      <c r="D612" s="7">
        <v>131</v>
      </c>
      <c r="E612" s="7">
        <v>146</v>
      </c>
      <c r="F612" s="7">
        <v>4840.902527075812</v>
      </c>
      <c r="G612" s="7">
        <v>1042.820441534612</v>
      </c>
      <c r="H612" s="7">
        <v>890.02283717044679</v>
      </c>
    </row>
    <row r="613" spans="1:8" x14ac:dyDescent="0.3">
      <c r="A613" s="7">
        <v>610</v>
      </c>
      <c r="B613" s="7">
        <v>605.11696862010319</v>
      </c>
      <c r="C613" s="7">
        <v>411.64257843154491</v>
      </c>
      <c r="D613" s="7">
        <v>129</v>
      </c>
      <c r="E613" s="7">
        <v>146</v>
      </c>
      <c r="F613" s="7">
        <v>4323.1890909090907</v>
      </c>
      <c r="G613" s="7">
        <v>1428.8443967337801</v>
      </c>
      <c r="H613" s="7">
        <v>1273.3938903575749</v>
      </c>
    </row>
    <row r="614" spans="1:8" x14ac:dyDescent="0.3">
      <c r="A614" s="7">
        <v>611</v>
      </c>
      <c r="B614" s="7">
        <v>1991.9154195557101</v>
      </c>
      <c r="C614" s="7">
        <v>921.13951851746765</v>
      </c>
      <c r="D614" s="7">
        <v>128</v>
      </c>
      <c r="E614" s="7">
        <v>146</v>
      </c>
      <c r="F614" s="7">
        <v>5904.905109489051</v>
      </c>
      <c r="G614" s="7">
        <v>1172.9735117959831</v>
      </c>
      <c r="H614" s="7">
        <v>1082.14309184732</v>
      </c>
    </row>
    <row r="615" spans="1:8" x14ac:dyDescent="0.3">
      <c r="A615" s="7">
        <v>612</v>
      </c>
      <c r="B615" s="7">
        <v>2104.1400089387298</v>
      </c>
      <c r="C615" s="7">
        <v>1108.701680598223</v>
      </c>
      <c r="D615" s="7">
        <v>128</v>
      </c>
      <c r="E615" s="7">
        <v>146</v>
      </c>
      <c r="F615" s="7">
        <v>6821.36496350365</v>
      </c>
      <c r="G615" s="7">
        <v>2960.0402063886731</v>
      </c>
      <c r="H615" s="7">
        <v>2482.2694970861612</v>
      </c>
    </row>
    <row r="616" spans="1:8" x14ac:dyDescent="0.3">
      <c r="A616" s="7">
        <v>613</v>
      </c>
      <c r="B616" s="7">
        <v>1031.238722429536</v>
      </c>
      <c r="C616" s="7">
        <v>535.24277194362026</v>
      </c>
      <c r="D616" s="7">
        <v>131</v>
      </c>
      <c r="E616" s="7">
        <v>146</v>
      </c>
      <c r="F616" s="7">
        <v>6611.9711191335737</v>
      </c>
      <c r="G616" s="7">
        <v>2099.0948612774082</v>
      </c>
      <c r="H616" s="7">
        <v>1796.1014611942469</v>
      </c>
    </row>
    <row r="617" spans="1:8" x14ac:dyDescent="0.3">
      <c r="A617" s="7">
        <v>614</v>
      </c>
      <c r="B617" s="7">
        <v>1163.76145059599</v>
      </c>
      <c r="C617" s="7">
        <v>831.64637858834169</v>
      </c>
      <c r="D617" s="7">
        <v>131</v>
      </c>
      <c r="E617" s="7">
        <v>146</v>
      </c>
      <c r="F617" s="7">
        <v>6365.7400722021657</v>
      </c>
      <c r="G617" s="7">
        <v>1505.6095567591819</v>
      </c>
      <c r="H617" s="7">
        <v>1373.609972359106</v>
      </c>
    </row>
    <row r="618" spans="1:8" x14ac:dyDescent="0.3">
      <c r="A618" s="7">
        <v>615</v>
      </c>
      <c r="B618" s="7">
        <v>1410.851875311809</v>
      </c>
      <c r="C618" s="7">
        <v>629.98691070985092</v>
      </c>
      <c r="D618" s="7">
        <v>129</v>
      </c>
      <c r="E618" s="7">
        <v>146</v>
      </c>
      <c r="F618" s="7">
        <v>9452.2145454545462</v>
      </c>
      <c r="G618" s="7">
        <v>3072.2139707661222</v>
      </c>
      <c r="H618" s="7">
        <v>2537.0954296553541</v>
      </c>
    </row>
    <row r="619" spans="1:8" x14ac:dyDescent="0.3">
      <c r="A619" s="7">
        <v>616</v>
      </c>
      <c r="B619" s="7">
        <v>1045.103423539779</v>
      </c>
      <c r="C619" s="7">
        <v>781.77532176385353</v>
      </c>
      <c r="D619" s="7">
        <v>129</v>
      </c>
      <c r="E619" s="7">
        <v>146</v>
      </c>
      <c r="F619" s="7">
        <v>8532.2981818181815</v>
      </c>
      <c r="G619" s="7">
        <v>2436.8537950818159</v>
      </c>
      <c r="H619" s="7">
        <v>2045.4038252186731</v>
      </c>
    </row>
    <row r="620" spans="1:8" x14ac:dyDescent="0.3">
      <c r="A620" s="7">
        <v>617</v>
      </c>
      <c r="B620" s="7">
        <v>983.66244808466422</v>
      </c>
      <c r="C620" s="7">
        <v>568.81478156401556</v>
      </c>
      <c r="D620" s="7">
        <v>131</v>
      </c>
      <c r="E620" s="7">
        <v>146</v>
      </c>
      <c r="F620" s="7">
        <v>6539.7111913357403</v>
      </c>
      <c r="G620" s="7">
        <v>2246.9406274323551</v>
      </c>
      <c r="H620" s="7">
        <v>1951.4578112378181</v>
      </c>
    </row>
    <row r="621" spans="1:8" x14ac:dyDescent="0.3">
      <c r="A621" s="7">
        <v>618</v>
      </c>
      <c r="B621" s="7">
        <v>1129.2877606287441</v>
      </c>
      <c r="C621" s="7">
        <v>870.66989041448915</v>
      </c>
      <c r="D621" s="7">
        <v>129</v>
      </c>
      <c r="E621" s="7">
        <v>146</v>
      </c>
      <c r="F621" s="7">
        <v>7301.6581818181821</v>
      </c>
      <c r="G621" s="7">
        <v>2156.1531798283072</v>
      </c>
      <c r="H621" s="7">
        <v>2040.035021858929</v>
      </c>
    </row>
    <row r="622" spans="1:8" x14ac:dyDescent="0.3">
      <c r="A622" s="7">
        <v>619</v>
      </c>
      <c r="B622" s="7">
        <v>2239.986241701713</v>
      </c>
      <c r="C622" s="7">
        <v>1019.512847344057</v>
      </c>
      <c r="D622" s="7">
        <v>128</v>
      </c>
      <c r="E622" s="7">
        <v>146</v>
      </c>
      <c r="F622" s="7">
        <v>4369.63503649635</v>
      </c>
      <c r="G622" s="7">
        <v>1526.229284257447</v>
      </c>
      <c r="H622" s="7">
        <v>1502.2529496251741</v>
      </c>
    </row>
    <row r="623" spans="1:8" x14ac:dyDescent="0.3">
      <c r="A623" s="7">
        <v>620</v>
      </c>
      <c r="B623" s="7">
        <v>1829.6545791476251</v>
      </c>
      <c r="C623" s="7">
        <v>1078.91327251745</v>
      </c>
      <c r="D623" s="7">
        <v>128</v>
      </c>
      <c r="E623" s="7">
        <v>146</v>
      </c>
      <c r="F623" s="7">
        <v>8427.8321167883205</v>
      </c>
      <c r="G623" s="7">
        <v>1830.9006258020941</v>
      </c>
      <c r="H623" s="7">
        <v>1662.534232833257</v>
      </c>
    </row>
    <row r="624" spans="1:8" x14ac:dyDescent="0.3">
      <c r="A624" s="7">
        <v>621</v>
      </c>
      <c r="B624" s="7">
        <v>1224.031320214249</v>
      </c>
      <c r="C624" s="7">
        <v>566.43689331390692</v>
      </c>
      <c r="D624" s="7">
        <v>129</v>
      </c>
      <c r="E624" s="7">
        <v>146</v>
      </c>
      <c r="F624" s="7">
        <v>6137.3854545454542</v>
      </c>
      <c r="G624" s="7">
        <v>2159.963585323253</v>
      </c>
      <c r="H624" s="7">
        <v>1740.8957012026169</v>
      </c>
    </row>
    <row r="625" spans="1:8" x14ac:dyDescent="0.3">
      <c r="A625" s="7">
        <v>622</v>
      </c>
      <c r="B625" s="7">
        <v>674.08242670514551</v>
      </c>
      <c r="C625" s="7">
        <v>435.55602286091249</v>
      </c>
      <c r="D625" s="7">
        <v>131</v>
      </c>
      <c r="E625" s="7">
        <v>146</v>
      </c>
      <c r="F625" s="7">
        <v>4334.1985559566783</v>
      </c>
      <c r="G625" s="7">
        <v>1243.0803189614551</v>
      </c>
      <c r="H625" s="7">
        <v>1083.165240559428</v>
      </c>
    </row>
    <row r="626" spans="1:8" x14ac:dyDescent="0.3">
      <c r="A626" s="7">
        <v>623</v>
      </c>
      <c r="B626" s="7">
        <v>1274.799683359138</v>
      </c>
      <c r="C626" s="7">
        <v>762.10004236287386</v>
      </c>
      <c r="D626" s="7">
        <v>129</v>
      </c>
      <c r="E626" s="7">
        <v>146</v>
      </c>
      <c r="F626" s="7">
        <v>7073.92</v>
      </c>
      <c r="G626" s="7">
        <v>2308.600468688986</v>
      </c>
      <c r="H626" s="7">
        <v>1918.749510731275</v>
      </c>
    </row>
    <row r="627" spans="1:8" x14ac:dyDescent="0.3">
      <c r="A627" s="7">
        <v>624</v>
      </c>
      <c r="B627" s="7">
        <v>1080.1429375228049</v>
      </c>
      <c r="C627" s="7">
        <v>589.86422388374763</v>
      </c>
      <c r="D627" s="7">
        <v>129</v>
      </c>
      <c r="E627" s="7">
        <v>146</v>
      </c>
      <c r="F627" s="7">
        <v>7056.0727272727272</v>
      </c>
      <c r="G627" s="7">
        <v>2176.1612350490559</v>
      </c>
      <c r="H627" s="7">
        <v>1813.4180339219699</v>
      </c>
    </row>
    <row r="628" spans="1:8" x14ac:dyDescent="0.3">
      <c r="A628" s="7">
        <v>625</v>
      </c>
      <c r="B628" s="7">
        <v>999.77477072363627</v>
      </c>
      <c r="C628" s="7">
        <v>566.64979612107697</v>
      </c>
      <c r="D628" s="7">
        <v>129</v>
      </c>
      <c r="E628" s="7">
        <v>146</v>
      </c>
      <c r="F628" s="7">
        <v>6502.4690909090896</v>
      </c>
      <c r="G628" s="7">
        <v>2031.4052206644139</v>
      </c>
      <c r="H628" s="7">
        <v>1744.219541290367</v>
      </c>
    </row>
    <row r="629" spans="1:8" x14ac:dyDescent="0.3">
      <c r="A629" s="7">
        <v>626</v>
      </c>
      <c r="B629" s="7">
        <v>1429.5372205068761</v>
      </c>
      <c r="C629" s="7">
        <v>910.25573109752452</v>
      </c>
      <c r="D629" s="7">
        <v>131</v>
      </c>
      <c r="E629" s="7">
        <v>146</v>
      </c>
      <c r="F629" s="7">
        <v>9244.8339350180504</v>
      </c>
      <c r="G629" s="7">
        <v>3671.6332035865721</v>
      </c>
      <c r="H629" s="7">
        <v>3250.961598522581</v>
      </c>
    </row>
    <row r="630" spans="1:8" x14ac:dyDescent="0.3">
      <c r="A630" s="7">
        <v>627</v>
      </c>
      <c r="B630" s="7">
        <v>828.47306821358302</v>
      </c>
      <c r="C630" s="7">
        <v>568.46236793316632</v>
      </c>
      <c r="D630" s="7">
        <v>129</v>
      </c>
      <c r="E630" s="7">
        <v>146</v>
      </c>
      <c r="F630" s="7">
        <v>6610.2290909090907</v>
      </c>
      <c r="G630" s="7">
        <v>2286.9431613522479</v>
      </c>
      <c r="H630" s="7">
        <v>2013.936955727223</v>
      </c>
    </row>
    <row r="631" spans="1:8" x14ac:dyDescent="0.3">
      <c r="A631" s="7">
        <v>628</v>
      </c>
      <c r="B631" s="7">
        <v>1210.2450367168799</v>
      </c>
      <c r="C631" s="7">
        <v>762.10716382975772</v>
      </c>
      <c r="D631" s="7">
        <v>131</v>
      </c>
      <c r="E631" s="7">
        <v>146</v>
      </c>
      <c r="F631" s="7">
        <v>6317.9675090252704</v>
      </c>
      <c r="G631" s="7">
        <v>2421.3101478458038</v>
      </c>
      <c r="H631" s="7">
        <v>1938.698912312776</v>
      </c>
    </row>
    <row r="632" spans="1:8" x14ac:dyDescent="0.3">
      <c r="A632" s="7">
        <v>629</v>
      </c>
      <c r="B632" s="7">
        <v>1765.277482477647</v>
      </c>
      <c r="C632" s="7">
        <v>841.72505469137411</v>
      </c>
      <c r="D632" s="7">
        <v>128</v>
      </c>
      <c r="E632" s="7">
        <v>146</v>
      </c>
      <c r="F632" s="7">
        <v>6192.5656934306571</v>
      </c>
      <c r="G632" s="7">
        <v>2036.9895564594831</v>
      </c>
      <c r="H632" s="7">
        <v>1958.3360720859121</v>
      </c>
    </row>
    <row r="633" spans="1:8" x14ac:dyDescent="0.3">
      <c r="A633" s="7">
        <v>630</v>
      </c>
      <c r="B633" s="7">
        <v>1097.021703506621</v>
      </c>
      <c r="C633" s="7">
        <v>678.41730126744824</v>
      </c>
      <c r="D633" s="7">
        <v>129</v>
      </c>
      <c r="E633" s="7">
        <v>146</v>
      </c>
      <c r="F633" s="7">
        <v>6718.3963636363633</v>
      </c>
      <c r="G633" s="7">
        <v>2259.8910997978942</v>
      </c>
      <c r="H633" s="7">
        <v>2025.7549852521579</v>
      </c>
    </row>
    <row r="634" spans="1:8" x14ac:dyDescent="0.3">
      <c r="A634" s="7">
        <v>631</v>
      </c>
      <c r="B634" s="7">
        <v>887.96216900395962</v>
      </c>
      <c r="C634" s="7">
        <v>592.84167607308473</v>
      </c>
      <c r="D634" s="7">
        <v>131</v>
      </c>
      <c r="E634" s="7">
        <v>146</v>
      </c>
      <c r="F634" s="7">
        <v>5766.6534296028894</v>
      </c>
      <c r="G634" s="7">
        <v>1607.9120285647009</v>
      </c>
      <c r="H634" s="7">
        <v>1427.028724115971</v>
      </c>
    </row>
    <row r="635" spans="1:8" x14ac:dyDescent="0.3">
      <c r="A635" s="7">
        <v>632</v>
      </c>
      <c r="B635" s="7">
        <v>861.44985010099629</v>
      </c>
      <c r="C635" s="7">
        <v>630.56597097905887</v>
      </c>
      <c r="D635" s="7">
        <v>131</v>
      </c>
      <c r="E635" s="7">
        <v>146</v>
      </c>
      <c r="F635" s="7">
        <v>7609.7761732851986</v>
      </c>
      <c r="G635" s="7">
        <v>2012.783170538509</v>
      </c>
      <c r="H635" s="7">
        <v>1734.235761966115</v>
      </c>
    </row>
    <row r="636" spans="1:8" x14ac:dyDescent="0.3">
      <c r="A636" s="7">
        <v>633</v>
      </c>
      <c r="B636" s="7">
        <v>1830.284539162772</v>
      </c>
      <c r="C636" s="7">
        <v>935.4938092294534</v>
      </c>
      <c r="D636" s="7">
        <v>128</v>
      </c>
      <c r="E636" s="7">
        <v>146</v>
      </c>
      <c r="F636" s="7">
        <v>7379.580291970803</v>
      </c>
      <c r="G636" s="7">
        <v>1685.2948833216101</v>
      </c>
      <c r="H636" s="7">
        <v>1604.77326525485</v>
      </c>
    </row>
    <row r="637" spans="1:8" x14ac:dyDescent="0.3">
      <c r="A637" s="7">
        <v>634</v>
      </c>
      <c r="B637" s="7">
        <v>1214.1498575701271</v>
      </c>
      <c r="C637" s="7">
        <v>566.69433377849987</v>
      </c>
      <c r="D637" s="7">
        <v>131</v>
      </c>
      <c r="E637" s="7">
        <v>146</v>
      </c>
      <c r="F637" s="7">
        <v>6818.0324909747296</v>
      </c>
      <c r="G637" s="7">
        <v>2720.5425396276501</v>
      </c>
      <c r="H637" s="7">
        <v>2427.278848749982</v>
      </c>
    </row>
    <row r="638" spans="1:8" x14ac:dyDescent="0.3">
      <c r="A638" s="7">
        <v>635</v>
      </c>
      <c r="B638" s="7">
        <v>923.35777311350932</v>
      </c>
      <c r="C638" s="7">
        <v>584.87749569349444</v>
      </c>
      <c r="D638" s="7">
        <v>130</v>
      </c>
      <c r="E638" s="7">
        <v>146</v>
      </c>
      <c r="F638" s="7">
        <v>5935.108695652174</v>
      </c>
      <c r="G638" s="7">
        <v>2628.2612708199899</v>
      </c>
      <c r="H638" s="7">
        <v>2312.5256207392258</v>
      </c>
    </row>
    <row r="639" spans="1:8" x14ac:dyDescent="0.3">
      <c r="A639" s="7">
        <v>636</v>
      </c>
      <c r="B639" s="7">
        <v>1928.7144902256821</v>
      </c>
      <c r="C639" s="7">
        <v>886.27149281722075</v>
      </c>
      <c r="D639" s="7">
        <v>128</v>
      </c>
      <c r="E639" s="7">
        <v>146</v>
      </c>
      <c r="F639" s="7">
        <v>6200.9890510948908</v>
      </c>
      <c r="G639" s="7">
        <v>3621.760780123047</v>
      </c>
      <c r="H639" s="7">
        <v>3174.5426614851222</v>
      </c>
    </row>
    <row r="640" spans="1:8" x14ac:dyDescent="0.3">
      <c r="A640" s="7">
        <v>637</v>
      </c>
      <c r="B640" s="7">
        <v>1602.2926655775079</v>
      </c>
      <c r="C640" s="7">
        <v>981.91500470970061</v>
      </c>
      <c r="D640" s="7">
        <v>128</v>
      </c>
      <c r="E640" s="7">
        <v>146</v>
      </c>
      <c r="F640" s="7">
        <v>8809.350364963504</v>
      </c>
      <c r="G640" s="7">
        <v>2330.871908012643</v>
      </c>
      <c r="H640" s="7">
        <v>2247.7179843090421</v>
      </c>
    </row>
    <row r="641" spans="1:8" x14ac:dyDescent="0.3">
      <c r="A641" s="7">
        <v>638</v>
      </c>
      <c r="B641" s="7">
        <v>1810.280205476063</v>
      </c>
      <c r="C641" s="7">
        <v>791.86822016178303</v>
      </c>
      <c r="D641" s="7">
        <v>128</v>
      </c>
      <c r="E641" s="7">
        <v>146</v>
      </c>
      <c r="F641" s="7">
        <v>6188.419708029197</v>
      </c>
      <c r="G641" s="7">
        <v>1633.3205704752211</v>
      </c>
      <c r="H641" s="7">
        <v>1497.512716345487</v>
      </c>
    </row>
    <row r="642" spans="1:8" x14ac:dyDescent="0.3">
      <c r="A642" s="7">
        <v>639</v>
      </c>
      <c r="B642" s="7">
        <v>834.1612107509826</v>
      </c>
      <c r="C642" s="7">
        <v>458.52191982481139</v>
      </c>
      <c r="D642" s="7">
        <v>129</v>
      </c>
      <c r="E642" s="7">
        <v>146</v>
      </c>
      <c r="F642" s="7">
        <v>4555.1636363636362</v>
      </c>
      <c r="G642" s="7">
        <v>1665.79987305026</v>
      </c>
      <c r="H642" s="7">
        <v>1403.7274595953149</v>
      </c>
    </row>
    <row r="643" spans="1:8" x14ac:dyDescent="0.3">
      <c r="A643" s="7">
        <v>640</v>
      </c>
      <c r="B643" s="7">
        <v>1578.8046264988129</v>
      </c>
      <c r="C643" s="7">
        <v>862.60013538304338</v>
      </c>
      <c r="D643" s="7">
        <v>129</v>
      </c>
      <c r="E643" s="7">
        <v>146</v>
      </c>
      <c r="F643" s="7">
        <v>12023.603636363639</v>
      </c>
      <c r="G643" s="7">
        <v>3922.6470624750559</v>
      </c>
      <c r="H643" s="7">
        <v>3329.9928123251239</v>
      </c>
    </row>
    <row r="644" spans="1:8" x14ac:dyDescent="0.3">
      <c r="A644" s="7">
        <v>641</v>
      </c>
      <c r="B644" s="7">
        <v>1100.51818027742</v>
      </c>
      <c r="C644" s="7">
        <v>653.33971029813529</v>
      </c>
      <c r="D644" s="7">
        <v>129</v>
      </c>
      <c r="E644" s="7">
        <v>146</v>
      </c>
      <c r="F644" s="7">
        <v>5598.0981818181817</v>
      </c>
      <c r="G644" s="7">
        <v>2257.6178826090049</v>
      </c>
      <c r="H644" s="7">
        <v>1950.198483049269</v>
      </c>
    </row>
    <row r="645" spans="1:8" x14ac:dyDescent="0.3">
      <c r="A645" s="7">
        <v>642</v>
      </c>
      <c r="B645" s="7">
        <v>576.46109413155682</v>
      </c>
      <c r="C645" s="7">
        <v>392.68907042108208</v>
      </c>
      <c r="D645" s="7">
        <v>129</v>
      </c>
      <c r="E645" s="7">
        <v>146</v>
      </c>
      <c r="F645" s="7">
        <v>3760.763636363637</v>
      </c>
      <c r="G645" s="7">
        <v>1067.424477658197</v>
      </c>
      <c r="H645" s="7">
        <v>987.97963555630668</v>
      </c>
    </row>
    <row r="646" spans="1:8" x14ac:dyDescent="0.3">
      <c r="A646" s="7">
        <v>643</v>
      </c>
      <c r="B646" s="7">
        <v>1360.0067256005229</v>
      </c>
      <c r="C646" s="7">
        <v>821.05115689789375</v>
      </c>
      <c r="D646" s="7">
        <v>131</v>
      </c>
      <c r="E646" s="7">
        <v>146</v>
      </c>
      <c r="F646" s="7">
        <v>7893.9602888086647</v>
      </c>
      <c r="G646" s="7">
        <v>2756.567926394056</v>
      </c>
      <c r="H646" s="7">
        <v>2404.446582867462</v>
      </c>
    </row>
    <row r="647" spans="1:8" x14ac:dyDescent="0.3">
      <c r="A647" s="7">
        <v>644</v>
      </c>
      <c r="B647" s="7">
        <v>3128.361390169382</v>
      </c>
      <c r="C647" s="7">
        <v>5172.3769894882726</v>
      </c>
      <c r="D647" s="7">
        <v>110</v>
      </c>
      <c r="E647" s="7">
        <v>120</v>
      </c>
      <c r="F647" s="7">
        <v>10099.765217391299</v>
      </c>
      <c r="G647" s="7">
        <v>5787.606577852368</v>
      </c>
      <c r="H647" s="7">
        <v>5859.8881687281373</v>
      </c>
    </row>
    <row r="648" spans="1:8" x14ac:dyDescent="0.3">
      <c r="A648" s="7">
        <v>645</v>
      </c>
      <c r="B648" s="7">
        <v>1750.1645944696729</v>
      </c>
      <c r="C648" s="7">
        <v>888.97123586371276</v>
      </c>
      <c r="D648" s="7">
        <v>128</v>
      </c>
      <c r="E648" s="7">
        <v>146</v>
      </c>
      <c r="F648" s="7">
        <v>10818.77372262774</v>
      </c>
      <c r="G648" s="7">
        <v>4118.6783500975771</v>
      </c>
      <c r="H648" s="7">
        <v>3360.7804734036049</v>
      </c>
    </row>
    <row r="649" spans="1:8" x14ac:dyDescent="0.3">
      <c r="A649" s="7">
        <v>646</v>
      </c>
      <c r="B649" s="7">
        <v>1979.3475670544369</v>
      </c>
      <c r="C649" s="7">
        <v>813.81780596119529</v>
      </c>
      <c r="D649" s="7">
        <v>128</v>
      </c>
      <c r="E649" s="7">
        <v>146</v>
      </c>
      <c r="F649" s="7">
        <v>5131.1313868613142</v>
      </c>
      <c r="G649" s="7">
        <v>1201.0809974768561</v>
      </c>
      <c r="H649" s="7">
        <v>1008.022378937271</v>
      </c>
    </row>
    <row r="650" spans="1:8" x14ac:dyDescent="0.3">
      <c r="A650" s="7">
        <v>647</v>
      </c>
      <c r="B650" s="7">
        <v>929.77505798105403</v>
      </c>
      <c r="C650" s="7">
        <v>562.70866419161189</v>
      </c>
      <c r="D650" s="7">
        <v>131</v>
      </c>
      <c r="E650" s="7">
        <v>146</v>
      </c>
      <c r="F650" s="7">
        <v>5840.7148014440436</v>
      </c>
      <c r="G650" s="7">
        <v>2090.132960816878</v>
      </c>
      <c r="H650" s="7">
        <v>1810.4455120369671</v>
      </c>
    </row>
    <row r="651" spans="1:8" x14ac:dyDescent="0.3">
      <c r="A651" s="7">
        <v>648</v>
      </c>
      <c r="B651" s="7">
        <v>786.01841498736212</v>
      </c>
      <c r="C651" s="7">
        <v>561.72871088019372</v>
      </c>
      <c r="D651" s="7">
        <v>131</v>
      </c>
      <c r="E651" s="7">
        <v>146</v>
      </c>
      <c r="F651" s="7">
        <v>6605.5234657039709</v>
      </c>
      <c r="G651" s="7">
        <v>1938.934759088093</v>
      </c>
      <c r="H651" s="7">
        <v>1766.728037617592</v>
      </c>
    </row>
    <row r="652" spans="1:8" x14ac:dyDescent="0.3">
      <c r="A652" s="7">
        <v>649</v>
      </c>
      <c r="B652" s="7">
        <v>662.90760230485114</v>
      </c>
      <c r="C652" s="7">
        <v>400.01912615539572</v>
      </c>
      <c r="D652" s="7">
        <v>130</v>
      </c>
      <c r="E652" s="7">
        <v>146</v>
      </c>
      <c r="F652" s="7">
        <v>3725.032608695652</v>
      </c>
      <c r="G652" s="7">
        <v>1507.2420840727609</v>
      </c>
      <c r="H652" s="7">
        <v>1318.95196044913</v>
      </c>
    </row>
    <row r="653" spans="1:8" x14ac:dyDescent="0.3">
      <c r="A653" s="7">
        <v>650</v>
      </c>
      <c r="B653" s="7">
        <v>1857.283991580972</v>
      </c>
      <c r="C653" s="7">
        <v>828.75534537914882</v>
      </c>
      <c r="D653" s="7">
        <v>128</v>
      </c>
      <c r="E653" s="7">
        <v>146</v>
      </c>
      <c r="F653" s="7">
        <v>6442.0766423357663</v>
      </c>
      <c r="G653" s="7">
        <v>1342.0943899601471</v>
      </c>
      <c r="H653" s="7">
        <v>1276.1101854775129</v>
      </c>
    </row>
    <row r="654" spans="1:8" x14ac:dyDescent="0.3">
      <c r="A654" s="7">
        <v>651</v>
      </c>
      <c r="B654" s="7">
        <v>1081.146880811729</v>
      </c>
      <c r="C654" s="7">
        <v>803.800050513933</v>
      </c>
      <c r="D654" s="7">
        <v>129</v>
      </c>
      <c r="E654" s="7">
        <v>146</v>
      </c>
      <c r="F654" s="7">
        <v>7843.556363636364</v>
      </c>
      <c r="G654" s="7">
        <v>2106.004947099912</v>
      </c>
      <c r="H654" s="7">
        <v>1753.7636690413319</v>
      </c>
    </row>
    <row r="655" spans="1:8" x14ac:dyDescent="0.3">
      <c r="A655" s="7">
        <v>652</v>
      </c>
      <c r="B655" s="7">
        <v>1017.063241606715</v>
      </c>
      <c r="C655" s="7">
        <v>666.30940595428854</v>
      </c>
      <c r="D655" s="7">
        <v>131</v>
      </c>
      <c r="E655" s="7">
        <v>146</v>
      </c>
      <c r="F655" s="7">
        <v>6869.1444043321299</v>
      </c>
      <c r="G655" s="7">
        <v>2770.8149337237528</v>
      </c>
      <c r="H655" s="7">
        <v>2545.3515259018659</v>
      </c>
    </row>
    <row r="656" spans="1:8" x14ac:dyDescent="0.3">
      <c r="A656" s="7">
        <v>653</v>
      </c>
      <c r="B656" s="7">
        <v>848.16777452986435</v>
      </c>
      <c r="C656" s="7">
        <v>531.45280307929249</v>
      </c>
      <c r="D656" s="7">
        <v>129</v>
      </c>
      <c r="E656" s="7">
        <v>146</v>
      </c>
      <c r="F656" s="7">
        <v>5965.0109090909091</v>
      </c>
      <c r="G656" s="7">
        <v>1919.2363387636781</v>
      </c>
      <c r="H656" s="7">
        <v>1660.1219236459301</v>
      </c>
    </row>
    <row r="657" spans="1:8" x14ac:dyDescent="0.3">
      <c r="A657" s="7">
        <v>654</v>
      </c>
      <c r="B657" s="7">
        <v>885.86089054079048</v>
      </c>
      <c r="C657" s="7">
        <v>681.36037785255451</v>
      </c>
      <c r="D657" s="7">
        <v>131</v>
      </c>
      <c r="E657" s="7">
        <v>146</v>
      </c>
      <c r="F657" s="7">
        <v>6755.7870036101094</v>
      </c>
      <c r="G657" s="7">
        <v>2400.290733026613</v>
      </c>
      <c r="H657" s="7">
        <v>2045.4007193554339</v>
      </c>
    </row>
    <row r="658" spans="1:8" x14ac:dyDescent="0.3">
      <c r="A658" s="7">
        <v>655</v>
      </c>
      <c r="B658" s="7">
        <v>1396.35854407795</v>
      </c>
      <c r="C658" s="7">
        <v>998.63860499264194</v>
      </c>
      <c r="D658" s="7">
        <v>129</v>
      </c>
      <c r="E658" s="7">
        <v>146</v>
      </c>
      <c r="F658" s="7">
        <v>8872.625454545454</v>
      </c>
      <c r="G658" s="7">
        <v>3598.143180702682</v>
      </c>
      <c r="H658" s="7">
        <v>3210.6771860700492</v>
      </c>
    </row>
    <row r="659" spans="1:8" x14ac:dyDescent="0.3">
      <c r="A659" s="7">
        <v>656</v>
      </c>
      <c r="B659" s="7">
        <v>548.85666768762235</v>
      </c>
      <c r="C659" s="7">
        <v>358.76998342017208</v>
      </c>
      <c r="D659" s="7">
        <v>129</v>
      </c>
      <c r="E659" s="7">
        <v>146</v>
      </c>
      <c r="F659" s="7">
        <v>3364.625454545454</v>
      </c>
      <c r="G659" s="7">
        <v>953.74723627262711</v>
      </c>
      <c r="H659" s="7">
        <v>858.91023659084885</v>
      </c>
    </row>
    <row r="660" spans="1:8" x14ac:dyDescent="0.3">
      <c r="A660" s="7">
        <v>657</v>
      </c>
      <c r="B660" s="7">
        <v>1304.138970191867</v>
      </c>
      <c r="C660" s="7">
        <v>947.0842525217779</v>
      </c>
      <c r="D660" s="7">
        <v>127</v>
      </c>
      <c r="E660" s="7">
        <v>146</v>
      </c>
      <c r="F660" s="7">
        <v>6596.8534798534802</v>
      </c>
      <c r="G660" s="7">
        <v>2845.598200398334</v>
      </c>
      <c r="H660" s="7">
        <v>2494.2222042371418</v>
      </c>
    </row>
    <row r="661" spans="1:8" x14ac:dyDescent="0.3">
      <c r="A661" s="7">
        <v>658</v>
      </c>
      <c r="B661" s="7">
        <v>791.04997696634325</v>
      </c>
      <c r="C661" s="7">
        <v>466.28707491691688</v>
      </c>
      <c r="D661" s="7">
        <v>129</v>
      </c>
      <c r="E661" s="7">
        <v>146</v>
      </c>
      <c r="F661" s="7">
        <v>5712.5272727272732</v>
      </c>
      <c r="G661" s="7">
        <v>1877.8789556552949</v>
      </c>
      <c r="H661" s="7">
        <v>1736.3430591844699</v>
      </c>
    </row>
    <row r="662" spans="1:8" x14ac:dyDescent="0.3">
      <c r="A662" s="7">
        <v>659</v>
      </c>
      <c r="B662" s="7">
        <v>991.39593537724727</v>
      </c>
      <c r="C662" s="7">
        <v>478.75399165634087</v>
      </c>
      <c r="D662" s="7">
        <v>129</v>
      </c>
      <c r="E662" s="7">
        <v>146</v>
      </c>
      <c r="F662" s="7">
        <v>5491.5490909090913</v>
      </c>
      <c r="G662" s="7">
        <v>1977.782726092001</v>
      </c>
      <c r="H662" s="7">
        <v>1583.3420999516979</v>
      </c>
    </row>
    <row r="663" spans="1:8" x14ac:dyDescent="0.3">
      <c r="A663" s="7">
        <v>660</v>
      </c>
      <c r="B663" s="7">
        <v>2060.366804817239</v>
      </c>
      <c r="C663" s="7">
        <v>950.93704568480678</v>
      </c>
      <c r="D663" s="7">
        <v>128</v>
      </c>
      <c r="E663" s="7">
        <v>146</v>
      </c>
      <c r="F663" s="7">
        <v>4938.4160583941602</v>
      </c>
      <c r="G663" s="7">
        <v>1722.238754680953</v>
      </c>
      <c r="H663" s="7">
        <v>1660.6523206670879</v>
      </c>
    </row>
    <row r="664" spans="1:8" x14ac:dyDescent="0.3">
      <c r="A664" s="7">
        <v>661</v>
      </c>
      <c r="B664" s="7">
        <v>928.71305861333212</v>
      </c>
      <c r="C664" s="7">
        <v>687.14438453300693</v>
      </c>
      <c r="D664" s="7">
        <v>129</v>
      </c>
      <c r="E664" s="7">
        <v>146</v>
      </c>
      <c r="F664" s="7">
        <v>7342.9636363636364</v>
      </c>
      <c r="G664" s="7">
        <v>1785.8202749055031</v>
      </c>
      <c r="H664" s="7">
        <v>1640.7399913386889</v>
      </c>
    </row>
    <row r="665" spans="1:8" x14ac:dyDescent="0.3">
      <c r="A665" s="7">
        <v>662</v>
      </c>
      <c r="B665" s="7">
        <v>1279.223493316855</v>
      </c>
      <c r="C665" s="7">
        <v>691.66904846725515</v>
      </c>
      <c r="D665" s="7">
        <v>131</v>
      </c>
      <c r="E665" s="7">
        <v>146</v>
      </c>
      <c r="F665" s="7">
        <v>8580.9422382671473</v>
      </c>
      <c r="G665" s="7">
        <v>3567.418036953572</v>
      </c>
      <c r="H665" s="7">
        <v>3181.132038747402</v>
      </c>
    </row>
    <row r="666" spans="1:8" x14ac:dyDescent="0.3">
      <c r="A666" s="7">
        <v>663</v>
      </c>
      <c r="B666" s="7">
        <v>671.98430150873878</v>
      </c>
      <c r="C666" s="7">
        <v>705.0709886010668</v>
      </c>
      <c r="D666" s="7">
        <v>128</v>
      </c>
      <c r="E666" s="7">
        <v>146</v>
      </c>
      <c r="F666" s="7">
        <v>5867.3357664233581</v>
      </c>
      <c r="G666" s="7">
        <v>1341.890876710919</v>
      </c>
      <c r="H666" s="7">
        <v>1236.572525001684</v>
      </c>
    </row>
    <row r="667" spans="1:8" x14ac:dyDescent="0.3">
      <c r="A667" s="7">
        <v>664</v>
      </c>
      <c r="B667" s="7">
        <v>803.39573214912048</v>
      </c>
      <c r="C667" s="7">
        <v>469.11211064862658</v>
      </c>
      <c r="D667" s="7">
        <v>130</v>
      </c>
      <c r="E667" s="7">
        <v>146</v>
      </c>
      <c r="F667" s="7">
        <v>5306.920289855072</v>
      </c>
      <c r="G667" s="7">
        <v>2014.851805964895</v>
      </c>
      <c r="H667" s="7">
        <v>1817.0655385078651</v>
      </c>
    </row>
    <row r="668" spans="1:8" x14ac:dyDescent="0.3">
      <c r="A668" s="7">
        <v>665</v>
      </c>
      <c r="B668" s="7">
        <v>1328.4207678945379</v>
      </c>
      <c r="C668" s="7">
        <v>723.04248614881169</v>
      </c>
      <c r="D668" s="7">
        <v>129</v>
      </c>
      <c r="E668" s="7">
        <v>146</v>
      </c>
      <c r="F668" s="7">
        <v>8091.4</v>
      </c>
      <c r="G668" s="7">
        <v>2957.9882593809698</v>
      </c>
      <c r="H668" s="7">
        <v>2252.066614078406</v>
      </c>
    </row>
    <row r="669" spans="1:8" x14ac:dyDescent="0.3">
      <c r="A669" s="7">
        <v>666</v>
      </c>
      <c r="B669" s="7">
        <v>1163.662474137119</v>
      </c>
      <c r="C669" s="7">
        <v>808.41099277939043</v>
      </c>
      <c r="D669" s="7">
        <v>128</v>
      </c>
      <c r="E669" s="7">
        <v>146</v>
      </c>
      <c r="F669" s="7">
        <v>7321.7335766423357</v>
      </c>
      <c r="G669" s="7">
        <v>3002.224257477696</v>
      </c>
      <c r="H669" s="7">
        <v>2694.3622545797571</v>
      </c>
    </row>
    <row r="670" spans="1:8" x14ac:dyDescent="0.3">
      <c r="A670" s="7">
        <v>667</v>
      </c>
      <c r="B670" s="7">
        <v>1061.1572418740809</v>
      </c>
      <c r="C670" s="7">
        <v>675.18850142957911</v>
      </c>
      <c r="D670" s="7">
        <v>131</v>
      </c>
      <c r="E670" s="7">
        <v>144</v>
      </c>
      <c r="F670" s="7">
        <v>8842</v>
      </c>
      <c r="G670" s="7">
        <v>2817.4943513425769</v>
      </c>
      <c r="H670" s="7">
        <v>2685.2561304484739</v>
      </c>
    </row>
    <row r="671" spans="1:8" x14ac:dyDescent="0.3">
      <c r="A671" s="7">
        <v>668</v>
      </c>
      <c r="B671" s="7">
        <v>1114.5824600249759</v>
      </c>
      <c r="C671" s="7">
        <v>691.35607429985441</v>
      </c>
      <c r="D671" s="7">
        <v>131</v>
      </c>
      <c r="E671" s="7">
        <v>146</v>
      </c>
      <c r="F671" s="7">
        <v>9276.8844765342965</v>
      </c>
      <c r="G671" s="7">
        <v>2787.6292507603398</v>
      </c>
      <c r="H671" s="7">
        <v>2387.9684737254911</v>
      </c>
    </row>
    <row r="672" spans="1:8" x14ac:dyDescent="0.3">
      <c r="A672" s="7">
        <v>669</v>
      </c>
      <c r="B672" s="7">
        <v>2249.3739074471068</v>
      </c>
      <c r="C672" s="7">
        <v>856.37989969946238</v>
      </c>
      <c r="D672" s="7">
        <v>128</v>
      </c>
      <c r="E672" s="7">
        <v>146</v>
      </c>
      <c r="F672" s="7">
        <v>4735.6715328467153</v>
      </c>
      <c r="G672" s="7">
        <v>1452.9992687541171</v>
      </c>
      <c r="H672" s="7">
        <v>1224.520042962318</v>
      </c>
    </row>
    <row r="673" spans="1:8" x14ac:dyDescent="0.3">
      <c r="A673" s="7">
        <v>670</v>
      </c>
      <c r="B673" s="7">
        <v>1768.7442458503281</v>
      </c>
      <c r="C673" s="7">
        <v>861.21819713674131</v>
      </c>
      <c r="D673" s="7">
        <v>128</v>
      </c>
      <c r="E673" s="7">
        <v>146</v>
      </c>
      <c r="F673" s="7">
        <v>6713.8467153284673</v>
      </c>
      <c r="G673" s="7">
        <v>1780.829636802044</v>
      </c>
      <c r="H673" s="7">
        <v>1667.4964644352649</v>
      </c>
    </row>
    <row r="674" spans="1:8" x14ac:dyDescent="0.3">
      <c r="A674" s="7">
        <v>671</v>
      </c>
      <c r="B674" s="7">
        <v>1947.420875231174</v>
      </c>
      <c r="C674" s="7">
        <v>1060.066285576173</v>
      </c>
      <c r="D674" s="7">
        <v>128</v>
      </c>
      <c r="E674" s="7">
        <v>146</v>
      </c>
      <c r="F674" s="7">
        <v>6804.4379562043796</v>
      </c>
      <c r="G674" s="7">
        <v>1785.2931832054919</v>
      </c>
      <c r="H674" s="7">
        <v>1794.8531057534699</v>
      </c>
    </row>
    <row r="675" spans="1:8" x14ac:dyDescent="0.3">
      <c r="A675" s="7">
        <v>672</v>
      </c>
      <c r="B675" s="7">
        <v>1405.3404686569511</v>
      </c>
      <c r="C675" s="7">
        <v>803.33562942978881</v>
      </c>
      <c r="D675" s="7">
        <v>131</v>
      </c>
      <c r="E675" s="7">
        <v>146</v>
      </c>
      <c r="F675" s="7">
        <v>8276.1877256317694</v>
      </c>
      <c r="G675" s="7">
        <v>2688.187357156412</v>
      </c>
      <c r="H675" s="7">
        <v>2191.5002148712701</v>
      </c>
    </row>
    <row r="676" spans="1:8" x14ac:dyDescent="0.3">
      <c r="A676" s="7">
        <v>673</v>
      </c>
      <c r="B676" s="7">
        <v>1119.3994148153979</v>
      </c>
      <c r="C676" s="7">
        <v>752.63288838631604</v>
      </c>
      <c r="D676" s="7">
        <v>128</v>
      </c>
      <c r="E676" s="7">
        <v>146</v>
      </c>
      <c r="F676" s="7">
        <v>7866.3832116788317</v>
      </c>
      <c r="G676" s="7">
        <v>2655.4098715523178</v>
      </c>
      <c r="H676" s="7">
        <v>2151.378180456069</v>
      </c>
    </row>
    <row r="677" spans="1:8" x14ac:dyDescent="0.3">
      <c r="A677" s="7">
        <v>674</v>
      </c>
      <c r="B677" s="7">
        <v>3753.9402818266972</v>
      </c>
      <c r="C677" s="7">
        <v>3045.6273061371448</v>
      </c>
      <c r="D677" s="7">
        <v>99</v>
      </c>
      <c r="E677" s="7">
        <v>110</v>
      </c>
      <c r="F677" s="7">
        <v>8872.8612440191391</v>
      </c>
      <c r="G677" s="7">
        <v>5786.8360783747621</v>
      </c>
      <c r="H677" s="7">
        <v>5757.8114813308584</v>
      </c>
    </row>
    <row r="678" spans="1:8" x14ac:dyDescent="0.3">
      <c r="A678" s="7">
        <v>675</v>
      </c>
      <c r="B678" s="7">
        <v>730.20625922291708</v>
      </c>
      <c r="C678" s="7">
        <v>440.10754976575998</v>
      </c>
      <c r="D678" s="7">
        <v>129</v>
      </c>
      <c r="E678" s="7">
        <v>146</v>
      </c>
      <c r="F678" s="7">
        <v>3873.4618181818182</v>
      </c>
      <c r="G678" s="7">
        <v>1479.689287518464</v>
      </c>
      <c r="H678" s="7">
        <v>1257.3255209982119</v>
      </c>
    </row>
    <row r="679" spans="1:8" x14ac:dyDescent="0.3">
      <c r="A679" s="7">
        <v>676</v>
      </c>
      <c r="B679" s="7">
        <v>996.24397052726647</v>
      </c>
      <c r="C679" s="7">
        <v>1081.450950617216</v>
      </c>
      <c r="D679" s="7">
        <v>135</v>
      </c>
      <c r="E679" s="7">
        <v>201</v>
      </c>
      <c r="F679" s="7">
        <v>9139.3928571428569</v>
      </c>
      <c r="G679" s="7">
        <v>2580.8909343121832</v>
      </c>
      <c r="H679" s="7">
        <v>2156.2200757170808</v>
      </c>
    </row>
    <row r="680" spans="1:8" x14ac:dyDescent="0.3">
      <c r="A680" s="7">
        <v>677</v>
      </c>
      <c r="B680" s="7">
        <v>1829.2383411372821</v>
      </c>
      <c r="C680" s="7">
        <v>794.25331499348306</v>
      </c>
      <c r="D680" s="7">
        <v>128</v>
      </c>
      <c r="E680" s="7">
        <v>146</v>
      </c>
      <c r="F680" s="7">
        <v>7055.2226277372274</v>
      </c>
      <c r="G680" s="7">
        <v>2555.7947103714141</v>
      </c>
      <c r="H680" s="7">
        <v>2292.9763767609038</v>
      </c>
    </row>
    <row r="681" spans="1:8" x14ac:dyDescent="0.3">
      <c r="A681" s="7">
        <v>678</v>
      </c>
      <c r="B681" s="7">
        <v>1174.5268667693761</v>
      </c>
      <c r="C681" s="7">
        <v>829.2333106551672</v>
      </c>
      <c r="D681" s="7">
        <v>129</v>
      </c>
      <c r="E681" s="7">
        <v>146</v>
      </c>
      <c r="F681" s="7">
        <v>7749.1345454545453</v>
      </c>
      <c r="G681" s="7">
        <v>2839.9306397797268</v>
      </c>
      <c r="H681" s="7">
        <v>2335.5425757814119</v>
      </c>
    </row>
    <row r="682" spans="1:8" x14ac:dyDescent="0.3">
      <c r="A682" s="7">
        <v>679</v>
      </c>
      <c r="B682" s="7">
        <v>1161.162291636582</v>
      </c>
      <c r="C682" s="7">
        <v>698.65484030886807</v>
      </c>
      <c r="D682" s="7">
        <v>131</v>
      </c>
      <c r="E682" s="7">
        <v>146</v>
      </c>
      <c r="F682" s="7">
        <v>10102.483754512639</v>
      </c>
      <c r="G682" s="7">
        <v>2503.9337997004718</v>
      </c>
      <c r="H682" s="7">
        <v>2204.393244260757</v>
      </c>
    </row>
    <row r="683" spans="1:8" x14ac:dyDescent="0.3">
      <c r="A683" s="7">
        <v>680</v>
      </c>
      <c r="B683" s="7">
        <v>1297.4938564477279</v>
      </c>
      <c r="C683" s="7">
        <v>671.16412071745833</v>
      </c>
      <c r="D683" s="7">
        <v>131</v>
      </c>
      <c r="E683" s="7">
        <v>146</v>
      </c>
      <c r="F683" s="7">
        <v>5177.4115523465707</v>
      </c>
      <c r="G683" s="7">
        <v>1940.2008395292289</v>
      </c>
      <c r="H683" s="7">
        <v>1439.7551970377669</v>
      </c>
    </row>
    <row r="684" spans="1:8" x14ac:dyDescent="0.3">
      <c r="A684" s="7">
        <v>681</v>
      </c>
      <c r="B684" s="7">
        <v>580.60975861406268</v>
      </c>
      <c r="C684" s="7">
        <v>427.8001739645353</v>
      </c>
      <c r="D684" s="7">
        <v>129</v>
      </c>
      <c r="E684" s="7">
        <v>146</v>
      </c>
      <c r="F684" s="7">
        <v>3677.0727272727272</v>
      </c>
      <c r="G684" s="7">
        <v>1200.404786379491</v>
      </c>
      <c r="H684" s="7">
        <v>969.27770735357512</v>
      </c>
    </row>
    <row r="685" spans="1:8" x14ac:dyDescent="0.3">
      <c r="A685" s="7">
        <v>682</v>
      </c>
      <c r="B685" s="7">
        <v>1558.033151822817</v>
      </c>
      <c r="C685" s="7">
        <v>1025.347445636216</v>
      </c>
      <c r="D685" s="7">
        <v>135</v>
      </c>
      <c r="E685" s="7">
        <v>201</v>
      </c>
      <c r="F685" s="7">
        <v>11639.96726190476</v>
      </c>
      <c r="G685" s="7">
        <v>3733.0925497749431</v>
      </c>
      <c r="H685" s="7">
        <v>2648.8428685538438</v>
      </c>
    </row>
    <row r="686" spans="1:8" x14ac:dyDescent="0.3">
      <c r="A686" s="7">
        <v>683</v>
      </c>
      <c r="B686" s="7">
        <v>1093.7547096899309</v>
      </c>
      <c r="C686" s="7">
        <v>617.86217526744144</v>
      </c>
      <c r="D686" s="7">
        <v>131</v>
      </c>
      <c r="E686" s="7">
        <v>146</v>
      </c>
      <c r="F686" s="7">
        <v>8574.1768953068586</v>
      </c>
      <c r="G686" s="7">
        <v>2879.722455350051</v>
      </c>
      <c r="H686" s="7">
        <v>2395.0244872486269</v>
      </c>
    </row>
    <row r="687" spans="1:8" x14ac:dyDescent="0.3">
      <c r="A687" s="7">
        <v>684</v>
      </c>
      <c r="B687" s="7">
        <v>1689.6360491173559</v>
      </c>
      <c r="C687" s="7">
        <v>1083.4091630801411</v>
      </c>
      <c r="D687" s="7">
        <v>128</v>
      </c>
      <c r="E687" s="7">
        <v>146</v>
      </c>
      <c r="F687" s="7">
        <v>8825.1131386861307</v>
      </c>
      <c r="G687" s="7">
        <v>2942.8606392738852</v>
      </c>
      <c r="H687" s="7">
        <v>2834.251366449203</v>
      </c>
    </row>
    <row r="688" spans="1:8" x14ac:dyDescent="0.3">
      <c r="A688" s="7">
        <v>685</v>
      </c>
      <c r="B688" s="7">
        <v>820.93285640452712</v>
      </c>
      <c r="C688" s="7">
        <v>482.33330504623638</v>
      </c>
      <c r="D688" s="7">
        <v>129</v>
      </c>
      <c r="E688" s="7">
        <v>146</v>
      </c>
      <c r="F688" s="7">
        <v>5858.6981818181821</v>
      </c>
      <c r="G688" s="7">
        <v>2285.2001201530002</v>
      </c>
      <c r="H688" s="7">
        <v>1998.61550366919</v>
      </c>
    </row>
    <row r="689" spans="1:8" x14ac:dyDescent="0.3">
      <c r="A689" s="7">
        <v>686</v>
      </c>
      <c r="B689" s="7">
        <v>984.60874281259839</v>
      </c>
      <c r="C689" s="7">
        <v>534.41796977560557</v>
      </c>
      <c r="D689" s="7">
        <v>131</v>
      </c>
      <c r="E689" s="7">
        <v>146</v>
      </c>
      <c r="F689" s="7">
        <v>6245.1046931407946</v>
      </c>
      <c r="G689" s="7">
        <v>2392.2114620972188</v>
      </c>
      <c r="H689" s="7">
        <v>2105.2921867951782</v>
      </c>
    </row>
    <row r="690" spans="1:8" x14ac:dyDescent="0.3">
      <c r="A690" s="7">
        <v>687</v>
      </c>
      <c r="B690" s="7">
        <v>1269.504443366887</v>
      </c>
      <c r="C690" s="7">
        <v>828.25563313149962</v>
      </c>
      <c r="D690" s="7">
        <v>129</v>
      </c>
      <c r="E690" s="7">
        <v>146</v>
      </c>
      <c r="F690" s="7">
        <v>9257.1272727272735</v>
      </c>
      <c r="G690" s="7">
        <v>2559.1914420787871</v>
      </c>
      <c r="H690" s="7">
        <v>2197.8103829612</v>
      </c>
    </row>
    <row r="691" spans="1:8" x14ac:dyDescent="0.3">
      <c r="A691" s="7">
        <v>688</v>
      </c>
      <c r="B691" s="7">
        <v>711.60948118153874</v>
      </c>
      <c r="C691" s="7">
        <v>387.6166405644878</v>
      </c>
      <c r="D691" s="7">
        <v>130</v>
      </c>
      <c r="E691" s="7">
        <v>146</v>
      </c>
      <c r="F691" s="7">
        <v>3532.945652173913</v>
      </c>
      <c r="G691" s="7">
        <v>1472.6630561411789</v>
      </c>
      <c r="H691" s="7">
        <v>1287.1332327712271</v>
      </c>
    </row>
    <row r="692" spans="1:8" x14ac:dyDescent="0.3">
      <c r="A692" s="7">
        <v>689</v>
      </c>
      <c r="B692" s="7">
        <v>1195.29705938811</v>
      </c>
      <c r="C692" s="7">
        <v>501.75479934761341</v>
      </c>
      <c r="D692" s="7">
        <v>129</v>
      </c>
      <c r="E692" s="7">
        <v>146</v>
      </c>
      <c r="F692" s="7">
        <v>6640.3454545454542</v>
      </c>
      <c r="G692" s="7">
        <v>2477.7605386359892</v>
      </c>
      <c r="H692" s="7">
        <v>1894.315600920399</v>
      </c>
    </row>
    <row r="693" spans="1:8" x14ac:dyDescent="0.3">
      <c r="A693" s="7">
        <v>690</v>
      </c>
      <c r="B693" s="7">
        <v>1005.92490580845</v>
      </c>
      <c r="C693" s="7">
        <v>473.01858856233702</v>
      </c>
      <c r="D693" s="7">
        <v>129</v>
      </c>
      <c r="E693" s="7">
        <v>146</v>
      </c>
      <c r="F693" s="7">
        <v>5725.5636363636368</v>
      </c>
      <c r="G693" s="7">
        <v>1867.694252736627</v>
      </c>
      <c r="H693" s="7">
        <v>1486.317597285318</v>
      </c>
    </row>
    <row r="694" spans="1:8" x14ac:dyDescent="0.3">
      <c r="A694" s="7">
        <v>691</v>
      </c>
      <c r="B694" s="7">
        <v>1434.226805969075</v>
      </c>
      <c r="C694" s="7">
        <v>795.22350804060284</v>
      </c>
      <c r="D694" s="7">
        <v>129</v>
      </c>
      <c r="E694" s="7">
        <v>146</v>
      </c>
      <c r="F694" s="7">
        <v>8341.4872727272723</v>
      </c>
      <c r="G694" s="7">
        <v>2916.5437201108148</v>
      </c>
      <c r="H694" s="7">
        <v>2466.1925857205501</v>
      </c>
    </row>
    <row r="695" spans="1:8" x14ac:dyDescent="0.3">
      <c r="A695" s="7">
        <v>692</v>
      </c>
      <c r="B695" s="7">
        <v>872.76998716563116</v>
      </c>
      <c r="C695" s="7">
        <v>477.54622638807081</v>
      </c>
      <c r="D695" s="7">
        <v>129</v>
      </c>
      <c r="E695" s="7">
        <v>146</v>
      </c>
      <c r="F695" s="7">
        <v>6542.3345454545452</v>
      </c>
      <c r="G695" s="7">
        <v>2540.384642486832</v>
      </c>
      <c r="H695" s="7">
        <v>2236.121322400274</v>
      </c>
    </row>
    <row r="696" spans="1:8" x14ac:dyDescent="0.3">
      <c r="A696" s="7">
        <v>693</v>
      </c>
      <c r="B696" s="7">
        <v>1277.4886122043549</v>
      </c>
      <c r="C696" s="7">
        <v>699.17780038618048</v>
      </c>
      <c r="D696" s="7">
        <v>129</v>
      </c>
      <c r="E696" s="7">
        <v>146</v>
      </c>
      <c r="F696" s="7">
        <v>6742.2327272727271</v>
      </c>
      <c r="G696" s="7">
        <v>3700.9366759064878</v>
      </c>
      <c r="H696" s="7">
        <v>3305.5092897136992</v>
      </c>
    </row>
    <row r="697" spans="1:8" x14ac:dyDescent="0.3">
      <c r="A697" s="7">
        <v>694</v>
      </c>
      <c r="B697" s="7">
        <v>1793.551796372617</v>
      </c>
      <c r="C697" s="7">
        <v>1025.2171492286641</v>
      </c>
      <c r="D697" s="7">
        <v>128</v>
      </c>
      <c r="E697" s="7">
        <v>146</v>
      </c>
      <c r="F697" s="7">
        <v>8423.4781021897816</v>
      </c>
      <c r="G697" s="7">
        <v>2015.588918281702</v>
      </c>
      <c r="H697" s="7">
        <v>1938.3153644479</v>
      </c>
    </row>
    <row r="698" spans="1:8" x14ac:dyDescent="0.3">
      <c r="A698" s="7">
        <v>695</v>
      </c>
      <c r="B698" s="7">
        <v>877.19400249233945</v>
      </c>
      <c r="C698" s="7">
        <v>488.80835215095311</v>
      </c>
      <c r="D698" s="7">
        <v>129</v>
      </c>
      <c r="E698" s="7">
        <v>146</v>
      </c>
      <c r="F698" s="7">
        <v>5700.5345454545459</v>
      </c>
      <c r="G698" s="7">
        <v>2462.9837894892489</v>
      </c>
      <c r="H698" s="7">
        <v>2210.9239034506172</v>
      </c>
    </row>
    <row r="699" spans="1:8" x14ac:dyDescent="0.3">
      <c r="A699" s="7">
        <v>696</v>
      </c>
      <c r="B699" s="7">
        <v>1369.8854474555119</v>
      </c>
      <c r="C699" s="7">
        <v>1063.247903877404</v>
      </c>
      <c r="D699" s="7">
        <v>131</v>
      </c>
      <c r="E699" s="7">
        <v>146</v>
      </c>
      <c r="F699" s="7">
        <v>8490.5451263537907</v>
      </c>
      <c r="G699" s="7">
        <v>2623.9448028196539</v>
      </c>
      <c r="H699" s="7">
        <v>2201.717928258849</v>
      </c>
    </row>
    <row r="700" spans="1:8" x14ac:dyDescent="0.3">
      <c r="A700" s="7">
        <v>697</v>
      </c>
      <c r="B700" s="7">
        <v>1401.821845257276</v>
      </c>
      <c r="C700" s="7">
        <v>777.24817249919022</v>
      </c>
      <c r="D700" s="7">
        <v>129</v>
      </c>
      <c r="E700" s="7">
        <v>146</v>
      </c>
      <c r="F700" s="7">
        <v>11299.709090909089</v>
      </c>
      <c r="G700" s="7">
        <v>3682.38817436004</v>
      </c>
      <c r="H700" s="7">
        <v>3186.3030086628141</v>
      </c>
    </row>
    <row r="701" spans="1:8" x14ac:dyDescent="0.3">
      <c r="A701" s="7">
        <v>698</v>
      </c>
      <c r="B701" s="7">
        <v>1497.948771672369</v>
      </c>
      <c r="C701" s="7">
        <v>1118.2342999392531</v>
      </c>
      <c r="D701" s="7">
        <v>131</v>
      </c>
      <c r="E701" s="7">
        <v>146</v>
      </c>
      <c r="F701" s="7">
        <v>16591.433212996391</v>
      </c>
      <c r="G701" s="7">
        <v>3492.9643155812032</v>
      </c>
      <c r="H701" s="7">
        <v>2785.8031871006742</v>
      </c>
    </row>
    <row r="702" spans="1:8" x14ac:dyDescent="0.3">
      <c r="A702" s="7">
        <v>699</v>
      </c>
      <c r="B702" s="7">
        <v>3420.2601428943872</v>
      </c>
      <c r="C702" s="7">
        <v>1603.9608806287449</v>
      </c>
      <c r="D702" s="7">
        <v>113</v>
      </c>
      <c r="E702" s="7">
        <v>132</v>
      </c>
      <c r="F702" s="7">
        <v>8304.9632653061217</v>
      </c>
      <c r="G702" s="7">
        <v>4768.6012642806609</v>
      </c>
      <c r="H702" s="7">
        <v>3030.4476004529279</v>
      </c>
    </row>
    <row r="703" spans="1:8" x14ac:dyDescent="0.3">
      <c r="A703" s="7">
        <v>700</v>
      </c>
      <c r="B703" s="7">
        <v>560.57562964430099</v>
      </c>
      <c r="C703" s="7">
        <v>369.58998651721203</v>
      </c>
      <c r="D703" s="7">
        <v>129</v>
      </c>
      <c r="E703" s="7">
        <v>146</v>
      </c>
      <c r="F703" s="7">
        <v>4538.0727272727272</v>
      </c>
      <c r="G703" s="7">
        <v>1648.526034150301</v>
      </c>
      <c r="H703" s="7">
        <v>1440.698056641626</v>
      </c>
    </row>
    <row r="704" spans="1:8" x14ac:dyDescent="0.3">
      <c r="A704" s="7">
        <v>701</v>
      </c>
      <c r="B704" s="7">
        <v>1939.7457060681149</v>
      </c>
      <c r="C704" s="7">
        <v>856.65891366317351</v>
      </c>
      <c r="D704" s="7">
        <v>128</v>
      </c>
      <c r="E704" s="7">
        <v>146</v>
      </c>
      <c r="F704" s="7">
        <v>5979.0766423357663</v>
      </c>
      <c r="G704" s="7">
        <v>2856.9809103098678</v>
      </c>
      <c r="H704" s="7">
        <v>2484.3422064261072</v>
      </c>
    </row>
    <row r="705" spans="1:8" x14ac:dyDescent="0.3">
      <c r="A705" s="7">
        <v>702</v>
      </c>
      <c r="B705" s="7">
        <v>2282.2281226503592</v>
      </c>
      <c r="C705" s="7">
        <v>907.82220530000427</v>
      </c>
      <c r="D705" s="7">
        <v>128</v>
      </c>
      <c r="E705" s="7">
        <v>146</v>
      </c>
      <c r="F705" s="7">
        <v>4332.0912408759123</v>
      </c>
      <c r="G705" s="7">
        <v>1588.6678135705399</v>
      </c>
      <c r="H705" s="7">
        <v>1378.331346726854</v>
      </c>
    </row>
    <row r="706" spans="1:8" x14ac:dyDescent="0.3">
      <c r="A706" s="7">
        <v>703</v>
      </c>
      <c r="B706" s="7">
        <v>599.9110581191386</v>
      </c>
      <c r="C706" s="7">
        <v>320.36226236262758</v>
      </c>
      <c r="D706" s="7">
        <v>129</v>
      </c>
      <c r="E706" s="7">
        <v>146</v>
      </c>
      <c r="F706" s="7">
        <v>3400.9963636363641</v>
      </c>
      <c r="G706" s="7">
        <v>1186.6476557574831</v>
      </c>
      <c r="H706" s="7">
        <v>980.55017056053862</v>
      </c>
    </row>
    <row r="707" spans="1:8" x14ac:dyDescent="0.3">
      <c r="A707" s="7">
        <v>704</v>
      </c>
      <c r="B707" s="7">
        <v>1328.8359691411449</v>
      </c>
      <c r="C707" s="7">
        <v>1131.301813198776</v>
      </c>
      <c r="D707" s="7">
        <v>129</v>
      </c>
      <c r="E707" s="7">
        <v>146</v>
      </c>
      <c r="F707" s="7">
        <v>10915.225454545451</v>
      </c>
      <c r="G707" s="7">
        <v>2647.6467729114711</v>
      </c>
      <c r="H707" s="7">
        <v>2204.458366987416</v>
      </c>
    </row>
    <row r="708" spans="1:8" x14ac:dyDescent="0.3">
      <c r="A708" s="7">
        <v>705</v>
      </c>
      <c r="B708" s="7">
        <v>1069.9736180199679</v>
      </c>
      <c r="C708" s="7">
        <v>730.29496087294649</v>
      </c>
      <c r="D708" s="7">
        <v>129</v>
      </c>
      <c r="E708" s="7">
        <v>146</v>
      </c>
      <c r="F708" s="7">
        <v>8227.0181818181827</v>
      </c>
      <c r="G708" s="7">
        <v>2766.6172597624532</v>
      </c>
      <c r="H708" s="7">
        <v>2373.95258951401</v>
      </c>
    </row>
    <row r="709" spans="1:8" x14ac:dyDescent="0.3">
      <c r="A709" s="7">
        <v>706</v>
      </c>
      <c r="B709" s="7">
        <v>2064.7304410342331</v>
      </c>
      <c r="C709" s="7">
        <v>790.29005980680256</v>
      </c>
      <c r="D709" s="7">
        <v>128</v>
      </c>
      <c r="E709" s="7">
        <v>146</v>
      </c>
      <c r="F709" s="7">
        <v>5801.445255474453</v>
      </c>
      <c r="G709" s="7">
        <v>1644.0073847918079</v>
      </c>
      <c r="H709" s="7">
        <v>1515.6938869389519</v>
      </c>
    </row>
    <row r="710" spans="1:8" x14ac:dyDescent="0.3">
      <c r="A710" s="7">
        <v>707</v>
      </c>
      <c r="B710" s="7">
        <v>1419.771161551758</v>
      </c>
      <c r="C710" s="7">
        <v>867.16340223489044</v>
      </c>
      <c r="D710" s="7">
        <v>129</v>
      </c>
      <c r="E710" s="7">
        <v>146</v>
      </c>
      <c r="F710" s="7">
        <v>8692.1381818181817</v>
      </c>
      <c r="G710" s="7">
        <v>2897.1231373326568</v>
      </c>
      <c r="H710" s="7">
        <v>2332.3761856169081</v>
      </c>
    </row>
    <row r="711" spans="1:8" x14ac:dyDescent="0.3">
      <c r="A711" s="7">
        <v>708</v>
      </c>
      <c r="B711" s="7">
        <v>932.60911476521346</v>
      </c>
      <c r="C711" s="7">
        <v>533.64499408724294</v>
      </c>
      <c r="D711" s="7">
        <v>131</v>
      </c>
      <c r="E711" s="7">
        <v>146</v>
      </c>
      <c r="F711" s="7">
        <v>5653.3971119133575</v>
      </c>
      <c r="G711" s="7">
        <v>1781.3463644751989</v>
      </c>
      <c r="H711" s="7">
        <v>1645.2197921200559</v>
      </c>
    </row>
    <row r="712" spans="1:8" x14ac:dyDescent="0.3">
      <c r="A712" s="7">
        <v>709</v>
      </c>
      <c r="B712" s="7">
        <v>1171.1964017358339</v>
      </c>
      <c r="C712" s="7">
        <v>1162.273102522654</v>
      </c>
      <c r="D712" s="7">
        <v>131</v>
      </c>
      <c r="E712" s="7">
        <v>146</v>
      </c>
      <c r="F712" s="7">
        <v>10112.996389891699</v>
      </c>
      <c r="G712" s="7">
        <v>2180.9922736474609</v>
      </c>
      <c r="H712" s="7">
        <v>1852.8933945337631</v>
      </c>
    </row>
    <row r="713" spans="1:8" x14ac:dyDescent="0.3">
      <c r="A713" s="7">
        <v>710</v>
      </c>
      <c r="B713" s="7">
        <v>2163.079391178213</v>
      </c>
      <c r="C713" s="7">
        <v>991.12058645092907</v>
      </c>
      <c r="D713" s="7">
        <v>128</v>
      </c>
      <c r="E713" s="7">
        <v>146</v>
      </c>
      <c r="F713" s="7">
        <v>4875.3868613138684</v>
      </c>
      <c r="G713" s="7">
        <v>1976.5772578500439</v>
      </c>
      <c r="H713" s="7">
        <v>1877.3794855800229</v>
      </c>
    </row>
    <row r="714" spans="1:8" x14ac:dyDescent="0.3">
      <c r="A714" s="7">
        <v>711</v>
      </c>
      <c r="B714" s="7">
        <v>1739.812105559517</v>
      </c>
      <c r="C714" s="7">
        <v>1031.905313542813</v>
      </c>
      <c r="D714" s="7">
        <v>128</v>
      </c>
      <c r="E714" s="7">
        <v>146</v>
      </c>
      <c r="F714" s="7">
        <v>7011.0328467153286</v>
      </c>
      <c r="G714" s="7">
        <v>2762.2215626081661</v>
      </c>
      <c r="H714" s="7">
        <v>2595.5825882839372</v>
      </c>
    </row>
    <row r="715" spans="1:8" x14ac:dyDescent="0.3">
      <c r="A715" s="7">
        <v>712</v>
      </c>
      <c r="B715" s="7">
        <v>1921.807597192932</v>
      </c>
      <c r="C715" s="7">
        <v>856.17485212372378</v>
      </c>
      <c r="D715" s="7">
        <v>128</v>
      </c>
      <c r="E715" s="7">
        <v>146</v>
      </c>
      <c r="F715" s="7">
        <v>5996.1277372262784</v>
      </c>
      <c r="G715" s="7">
        <v>1896.042937359937</v>
      </c>
      <c r="H715" s="7">
        <v>1836.21800493401</v>
      </c>
    </row>
    <row r="716" spans="1:8" x14ac:dyDescent="0.3">
      <c r="A716" s="7">
        <v>713</v>
      </c>
      <c r="B716" s="7">
        <v>1349.276265922791</v>
      </c>
      <c r="C716" s="7">
        <v>916.46834283600128</v>
      </c>
      <c r="D716" s="7">
        <v>129</v>
      </c>
      <c r="E716" s="7">
        <v>146</v>
      </c>
      <c r="F716" s="7">
        <v>9482.4690909090914</v>
      </c>
      <c r="G716" s="7">
        <v>3175.60032779008</v>
      </c>
      <c r="H716" s="7">
        <v>2829.302224107998</v>
      </c>
    </row>
    <row r="717" spans="1:8" x14ac:dyDescent="0.3">
      <c r="A717" s="7">
        <v>714</v>
      </c>
      <c r="B717" s="7">
        <v>969.81125122737274</v>
      </c>
      <c r="C717" s="7">
        <v>600.91521363806828</v>
      </c>
      <c r="D717" s="7">
        <v>128</v>
      </c>
      <c r="E717" s="7">
        <v>146</v>
      </c>
      <c r="F717" s="7">
        <v>5269.4124087591244</v>
      </c>
      <c r="G717" s="7">
        <v>1714.982204262627</v>
      </c>
      <c r="H717" s="7">
        <v>1532.8932264954451</v>
      </c>
    </row>
    <row r="718" spans="1:8" x14ac:dyDescent="0.3">
      <c r="A718" s="7">
        <v>715</v>
      </c>
      <c r="B718" s="7">
        <v>973.40218535652775</v>
      </c>
      <c r="C718" s="7">
        <v>614.91612831725183</v>
      </c>
      <c r="D718" s="7">
        <v>130</v>
      </c>
      <c r="E718" s="7">
        <v>146</v>
      </c>
      <c r="F718" s="7">
        <v>6280.20652173913</v>
      </c>
      <c r="G718" s="7">
        <v>2484.3671597844359</v>
      </c>
      <c r="H718" s="7">
        <v>2093.266101718255</v>
      </c>
    </row>
    <row r="719" spans="1:8" x14ac:dyDescent="0.3">
      <c r="A719" s="7">
        <v>716</v>
      </c>
      <c r="B719" s="7">
        <v>2001.4764028711791</v>
      </c>
      <c r="C719" s="7">
        <v>819.71316331081653</v>
      </c>
      <c r="D719" s="7">
        <v>128</v>
      </c>
      <c r="E719" s="7">
        <v>146</v>
      </c>
      <c r="F719" s="7">
        <v>5770.0109489051092</v>
      </c>
      <c r="G719" s="7">
        <v>1700.096460958172</v>
      </c>
      <c r="H719" s="7">
        <v>1554.4276663335011</v>
      </c>
    </row>
    <row r="720" spans="1:8" x14ac:dyDescent="0.3">
      <c r="A720" s="7">
        <v>717</v>
      </c>
      <c r="B720" s="7">
        <v>884.77863863058462</v>
      </c>
      <c r="C720" s="7">
        <v>660.35027812326393</v>
      </c>
      <c r="D720" s="7">
        <v>129</v>
      </c>
      <c r="E720" s="7">
        <v>146</v>
      </c>
      <c r="F720" s="7">
        <v>5776.9672727272728</v>
      </c>
      <c r="G720" s="7">
        <v>2631.1011827956231</v>
      </c>
      <c r="H720" s="7">
        <v>2368.0822149394071</v>
      </c>
    </row>
    <row r="721" spans="1:8" x14ac:dyDescent="0.3">
      <c r="A721" s="7">
        <v>718</v>
      </c>
      <c r="B721" s="7">
        <v>899.68902593341022</v>
      </c>
      <c r="C721" s="7">
        <v>619.47841599613969</v>
      </c>
      <c r="D721" s="7">
        <v>129</v>
      </c>
      <c r="E721" s="7">
        <v>146</v>
      </c>
      <c r="F721" s="7">
        <v>7902.76</v>
      </c>
      <c r="G721" s="7">
        <v>2177.869086903509</v>
      </c>
      <c r="H721" s="7">
        <v>1882.9522560676189</v>
      </c>
    </row>
    <row r="722" spans="1:8" x14ac:dyDescent="0.3">
      <c r="A722" s="7">
        <v>719</v>
      </c>
      <c r="B722" s="7">
        <v>2442.3600023289032</v>
      </c>
      <c r="C722" s="7">
        <v>1016.830445679954</v>
      </c>
      <c r="D722" s="7">
        <v>128</v>
      </c>
      <c r="E722" s="7">
        <v>146</v>
      </c>
      <c r="F722" s="7">
        <v>5115.9890510948908</v>
      </c>
      <c r="G722" s="7">
        <v>1690.519871962468</v>
      </c>
      <c r="H722" s="7">
        <v>1616.818654532362</v>
      </c>
    </row>
    <row r="723" spans="1:8" x14ac:dyDescent="0.3">
      <c r="A723" s="7">
        <v>720</v>
      </c>
      <c r="B723" s="7">
        <v>1236.306025415701</v>
      </c>
      <c r="C723" s="7">
        <v>652.3368413939661</v>
      </c>
      <c r="D723" s="7">
        <v>131</v>
      </c>
      <c r="E723" s="7">
        <v>146</v>
      </c>
      <c r="F723" s="7">
        <v>7126.8628158844767</v>
      </c>
      <c r="G723" s="7">
        <v>2501.463544126801</v>
      </c>
      <c r="H723" s="7">
        <v>2090.6710415820062</v>
      </c>
    </row>
    <row r="724" spans="1:8" x14ac:dyDescent="0.3">
      <c r="A724" s="7">
        <v>721</v>
      </c>
      <c r="B724" s="7">
        <v>1386.595493592155</v>
      </c>
      <c r="C724" s="7">
        <v>776.02636763697672</v>
      </c>
      <c r="D724" s="7">
        <v>131</v>
      </c>
      <c r="E724" s="7">
        <v>146</v>
      </c>
      <c r="F724" s="7">
        <v>7838.7942238267151</v>
      </c>
      <c r="G724" s="7">
        <v>2101.4054239306588</v>
      </c>
      <c r="H724" s="7">
        <v>1839.941275492311</v>
      </c>
    </row>
    <row r="725" spans="1:8" x14ac:dyDescent="0.3">
      <c r="A725" s="7">
        <v>722</v>
      </c>
      <c r="B725" s="7">
        <v>1431.039786422197</v>
      </c>
      <c r="C725" s="7">
        <v>1004.6241117918991</v>
      </c>
      <c r="D725" s="7">
        <v>131</v>
      </c>
      <c r="E725" s="7">
        <v>146</v>
      </c>
      <c r="F725" s="7">
        <v>9933.2382671480136</v>
      </c>
      <c r="G725" s="7">
        <v>2800.663394694493</v>
      </c>
      <c r="H725" s="7">
        <v>2439.9695386039289</v>
      </c>
    </row>
    <row r="726" spans="1:8" x14ac:dyDescent="0.3">
      <c r="A726" s="7">
        <v>723</v>
      </c>
      <c r="B726" s="7">
        <v>1078.621163087389</v>
      </c>
      <c r="C726" s="7">
        <v>734.14383314622921</v>
      </c>
      <c r="D726" s="7">
        <v>129</v>
      </c>
      <c r="E726" s="7">
        <v>146</v>
      </c>
      <c r="F726" s="7">
        <v>7995.9018181818183</v>
      </c>
      <c r="G726" s="7">
        <v>2678.5687604859359</v>
      </c>
      <c r="H726" s="7">
        <v>2221.5325313105891</v>
      </c>
    </row>
    <row r="727" spans="1:8" x14ac:dyDescent="0.3">
      <c r="A727" s="7">
        <v>724</v>
      </c>
      <c r="B727" s="7">
        <v>1243.796928776047</v>
      </c>
      <c r="C727" s="7">
        <v>784.38889024947639</v>
      </c>
      <c r="D727" s="7">
        <v>129</v>
      </c>
      <c r="E727" s="7">
        <v>146</v>
      </c>
      <c r="F727" s="7">
        <v>7129.1163636363644</v>
      </c>
      <c r="G727" s="7">
        <v>1899.522628729193</v>
      </c>
      <c r="H727" s="7">
        <v>1536.7750167330271</v>
      </c>
    </row>
    <row r="728" spans="1:8" x14ac:dyDescent="0.3">
      <c r="A728" s="7">
        <v>725</v>
      </c>
      <c r="B728" s="7">
        <v>1014.076289160591</v>
      </c>
      <c r="C728" s="7">
        <v>646.42355302822523</v>
      </c>
      <c r="D728" s="7">
        <v>131</v>
      </c>
      <c r="E728" s="7">
        <v>146</v>
      </c>
      <c r="F728" s="7">
        <v>5712.7111913357403</v>
      </c>
      <c r="G728" s="7">
        <v>1785.176917270162</v>
      </c>
      <c r="H728" s="7">
        <v>1398.606728434379</v>
      </c>
    </row>
    <row r="729" spans="1:8" x14ac:dyDescent="0.3">
      <c r="A729" s="7">
        <v>726</v>
      </c>
      <c r="B729" s="7">
        <v>1749.865117187079</v>
      </c>
      <c r="C729" s="7">
        <v>1008.27331729224</v>
      </c>
      <c r="D729" s="7">
        <v>131</v>
      </c>
      <c r="E729" s="7">
        <v>146</v>
      </c>
      <c r="F729" s="7">
        <v>11207.393501805051</v>
      </c>
      <c r="G729" s="7">
        <v>4328.8380234871092</v>
      </c>
      <c r="H729" s="7">
        <v>3755.79272226287</v>
      </c>
    </row>
    <row r="730" spans="1:8" x14ac:dyDescent="0.3">
      <c r="A730" s="7">
        <v>727</v>
      </c>
      <c r="B730" s="7">
        <v>791.05022779961382</v>
      </c>
      <c r="C730" s="7">
        <v>387.75726925610792</v>
      </c>
      <c r="D730" s="7">
        <v>129</v>
      </c>
      <c r="E730" s="7">
        <v>146</v>
      </c>
      <c r="F730" s="7">
        <v>4624.1527272727271</v>
      </c>
      <c r="G730" s="7">
        <v>1480.3013337694761</v>
      </c>
      <c r="H730" s="7">
        <v>1203.741592667549</v>
      </c>
    </row>
    <row r="731" spans="1:8" x14ac:dyDescent="0.3">
      <c r="A731" s="7">
        <v>728</v>
      </c>
      <c r="B731" s="7">
        <v>966.20268004233037</v>
      </c>
      <c r="C731" s="7">
        <v>551.01032590550074</v>
      </c>
      <c r="D731" s="7">
        <v>128</v>
      </c>
      <c r="E731" s="7">
        <v>146</v>
      </c>
      <c r="F731" s="7">
        <v>5414.0255474452551</v>
      </c>
      <c r="G731" s="7">
        <v>1605.3460175107109</v>
      </c>
      <c r="H731" s="7">
        <v>1362.971519516713</v>
      </c>
    </row>
    <row r="732" spans="1:8" x14ac:dyDescent="0.3">
      <c r="A732" s="7">
        <v>729</v>
      </c>
      <c r="B732" s="7">
        <v>1271.8040816288351</v>
      </c>
      <c r="C732" s="7">
        <v>863.76135525528457</v>
      </c>
      <c r="D732" s="7">
        <v>129</v>
      </c>
      <c r="E732" s="7">
        <v>146</v>
      </c>
      <c r="F732" s="7">
        <v>11172.45454545455</v>
      </c>
      <c r="G732" s="7">
        <v>3594.9349165546191</v>
      </c>
      <c r="H732" s="7">
        <v>3246.9698371385698</v>
      </c>
    </row>
    <row r="733" spans="1:8" x14ac:dyDescent="0.3">
      <c r="A733" s="7">
        <v>730</v>
      </c>
      <c r="B733" s="7">
        <v>1212.4590894665871</v>
      </c>
      <c r="C733" s="7">
        <v>676.5411786041941</v>
      </c>
      <c r="D733" s="7">
        <v>131</v>
      </c>
      <c r="E733" s="7">
        <v>146</v>
      </c>
      <c r="F733" s="7">
        <v>7422.3862815884477</v>
      </c>
      <c r="G733" s="7">
        <v>2390.8341001952622</v>
      </c>
      <c r="H733" s="7">
        <v>2017.177802691481</v>
      </c>
    </row>
    <row r="734" spans="1:8" x14ac:dyDescent="0.3">
      <c r="A734" s="7">
        <v>731</v>
      </c>
      <c r="B734" s="7">
        <v>1061.428896345378</v>
      </c>
      <c r="C734" s="7">
        <v>733.74068996926394</v>
      </c>
      <c r="D734" s="7">
        <v>127</v>
      </c>
      <c r="E734" s="7">
        <v>146</v>
      </c>
      <c r="F734" s="7">
        <v>9222.8315018315025</v>
      </c>
      <c r="G734" s="7">
        <v>3186.280020663397</v>
      </c>
      <c r="H734" s="7">
        <v>2679.0019929223999</v>
      </c>
    </row>
    <row r="735" spans="1:8" x14ac:dyDescent="0.3">
      <c r="A735" s="7">
        <v>732</v>
      </c>
      <c r="B735" s="7">
        <v>1175.9307422971231</v>
      </c>
      <c r="C735" s="7">
        <v>1235.1869335626279</v>
      </c>
      <c r="D735" s="7">
        <v>131</v>
      </c>
      <c r="E735" s="7">
        <v>181</v>
      </c>
      <c r="F735" s="7">
        <v>5164.2788461538457</v>
      </c>
      <c r="G735" s="7">
        <v>1727.7548662534839</v>
      </c>
      <c r="H735" s="7">
        <v>1932.966111692152</v>
      </c>
    </row>
    <row r="736" spans="1:8" x14ac:dyDescent="0.3">
      <c r="A736" s="7">
        <v>733</v>
      </c>
      <c r="B736" s="7">
        <v>1241.4059789360481</v>
      </c>
      <c r="C736" s="7">
        <v>1393.6550269486379</v>
      </c>
      <c r="D736" s="7">
        <v>135</v>
      </c>
      <c r="E736" s="7">
        <v>201</v>
      </c>
      <c r="F736" s="7">
        <v>15393.898809523809</v>
      </c>
      <c r="G736" s="7">
        <v>2635.40664091198</v>
      </c>
      <c r="H736" s="7">
        <v>2041.9285002173799</v>
      </c>
    </row>
    <row r="737" spans="1:8" x14ac:dyDescent="0.3">
      <c r="A737" s="7">
        <v>734</v>
      </c>
      <c r="B737" s="7">
        <v>1100.1324684510839</v>
      </c>
      <c r="C737" s="7">
        <v>538.03972701561293</v>
      </c>
      <c r="D737" s="7">
        <v>129</v>
      </c>
      <c r="E737" s="7">
        <v>146</v>
      </c>
      <c r="F737" s="7">
        <v>5674.3381818181824</v>
      </c>
      <c r="G737" s="7">
        <v>2383.7140504722051</v>
      </c>
      <c r="H737" s="7">
        <v>2022.8849126589021</v>
      </c>
    </row>
    <row r="738" spans="1:8" x14ac:dyDescent="0.3">
      <c r="A738" s="7">
        <v>735</v>
      </c>
      <c r="B738" s="7">
        <v>1131.582336462614</v>
      </c>
      <c r="C738" s="7">
        <v>673.77444478622033</v>
      </c>
      <c r="D738" s="7">
        <v>130</v>
      </c>
      <c r="E738" s="7">
        <v>146</v>
      </c>
      <c r="F738" s="7">
        <v>5673.967391304348</v>
      </c>
      <c r="G738" s="7">
        <v>2598.8316620536061</v>
      </c>
      <c r="H738" s="7">
        <v>2341.9724197924479</v>
      </c>
    </row>
    <row r="739" spans="1:8" x14ac:dyDescent="0.3">
      <c r="A739" s="7">
        <v>736</v>
      </c>
      <c r="B739" s="7">
        <v>2319.8375231827899</v>
      </c>
      <c r="C739" s="7">
        <v>1245.4501469712061</v>
      </c>
      <c r="D739" s="7">
        <v>128</v>
      </c>
      <c r="E739" s="7">
        <v>146</v>
      </c>
      <c r="F739" s="7">
        <v>5567.8613138686133</v>
      </c>
      <c r="G739" s="7">
        <v>1857.6866851846951</v>
      </c>
      <c r="H739" s="7">
        <v>1826.880161173051</v>
      </c>
    </row>
    <row r="740" spans="1:8" x14ac:dyDescent="0.3">
      <c r="A740" s="7">
        <v>737</v>
      </c>
      <c r="B740" s="7">
        <v>1066.249091018125</v>
      </c>
      <c r="C740" s="7">
        <v>618.97357482575126</v>
      </c>
      <c r="D740" s="7">
        <v>129</v>
      </c>
      <c r="E740" s="7">
        <v>146</v>
      </c>
      <c r="F740" s="7">
        <v>6188.0690909090908</v>
      </c>
      <c r="G740" s="7">
        <v>2410.6596462861689</v>
      </c>
      <c r="H740" s="7">
        <v>1980.7195835082639</v>
      </c>
    </row>
    <row r="741" spans="1:8" x14ac:dyDescent="0.3">
      <c r="A741" s="7">
        <v>738</v>
      </c>
      <c r="B741" s="7">
        <v>887.0432308438011</v>
      </c>
      <c r="C741" s="7">
        <v>977.52053708380402</v>
      </c>
      <c r="D741" s="7">
        <v>129</v>
      </c>
      <c r="E741" s="7">
        <v>146</v>
      </c>
      <c r="F741" s="7">
        <v>8977.3927272727269</v>
      </c>
      <c r="G741" s="7">
        <v>2476.0293748492322</v>
      </c>
      <c r="H741" s="7">
        <v>2396.2564125152689</v>
      </c>
    </row>
    <row r="742" spans="1:8" x14ac:dyDescent="0.3">
      <c r="A742" s="7">
        <v>739</v>
      </c>
      <c r="B742" s="7">
        <v>1528.0347103552581</v>
      </c>
      <c r="C742" s="7">
        <v>1013.269729636484</v>
      </c>
      <c r="D742" s="7">
        <v>128</v>
      </c>
      <c r="E742" s="7">
        <v>146</v>
      </c>
      <c r="F742" s="7">
        <v>10546.82846715328</v>
      </c>
      <c r="G742" s="7">
        <v>3919.303840447943</v>
      </c>
      <c r="H742" s="7">
        <v>3752.7370495431328</v>
      </c>
    </row>
    <row r="743" spans="1:8" x14ac:dyDescent="0.3">
      <c r="A743" s="7">
        <v>740</v>
      </c>
      <c r="B743" s="7">
        <v>998.64802003349098</v>
      </c>
      <c r="C743" s="7">
        <v>636.16245390118081</v>
      </c>
      <c r="D743" s="7">
        <v>129</v>
      </c>
      <c r="E743" s="7">
        <v>146</v>
      </c>
      <c r="F743" s="7">
        <v>7320.6836363636367</v>
      </c>
      <c r="G743" s="7">
        <v>2542.328030359869</v>
      </c>
      <c r="H743" s="7">
        <v>2196.309220437965</v>
      </c>
    </row>
    <row r="744" spans="1:8" x14ac:dyDescent="0.3">
      <c r="A744" s="7">
        <v>741</v>
      </c>
      <c r="B744" s="7">
        <v>1085.707809596111</v>
      </c>
      <c r="C744" s="7">
        <v>771.75211027077364</v>
      </c>
      <c r="D744" s="7">
        <v>131</v>
      </c>
      <c r="E744" s="7">
        <v>146</v>
      </c>
      <c r="F744" s="7">
        <v>8184.3610108303246</v>
      </c>
      <c r="G744" s="7">
        <v>2420.319335753632</v>
      </c>
      <c r="H744" s="7">
        <v>2112.672037251949</v>
      </c>
    </row>
    <row r="745" spans="1:8" x14ac:dyDescent="0.3">
      <c r="A745" s="7">
        <v>742</v>
      </c>
      <c r="B745" s="7">
        <v>1029.0706656980881</v>
      </c>
      <c r="C745" s="7">
        <v>709.9891352518672</v>
      </c>
      <c r="D745" s="7">
        <v>129</v>
      </c>
      <c r="E745" s="7">
        <v>146</v>
      </c>
      <c r="F745" s="7">
        <v>8440.0545454545463</v>
      </c>
      <c r="G745" s="7">
        <v>2840.733013548363</v>
      </c>
      <c r="H745" s="7">
        <v>2571.971006089374</v>
      </c>
    </row>
    <row r="746" spans="1:8" x14ac:dyDescent="0.3">
      <c r="A746" s="7">
        <v>743</v>
      </c>
      <c r="B746" s="7">
        <v>657.64483873381664</v>
      </c>
      <c r="C746" s="7">
        <v>380.0424270155458</v>
      </c>
      <c r="D746" s="7">
        <v>131</v>
      </c>
      <c r="E746" s="7">
        <v>146</v>
      </c>
      <c r="F746" s="7">
        <v>3879.9386281588449</v>
      </c>
      <c r="G746" s="7">
        <v>1554.703336861684</v>
      </c>
      <c r="H746" s="7">
        <v>1339.314604411167</v>
      </c>
    </row>
    <row r="747" spans="1:8" x14ac:dyDescent="0.3">
      <c r="A747" s="7">
        <v>744</v>
      </c>
      <c r="B747" s="7">
        <v>1673.0111916425381</v>
      </c>
      <c r="C747" s="7">
        <v>787.60491436523</v>
      </c>
      <c r="D747" s="7">
        <v>128</v>
      </c>
      <c r="E747" s="7">
        <v>146</v>
      </c>
      <c r="F747" s="7">
        <v>7586.5912408759123</v>
      </c>
      <c r="G747" s="7">
        <v>1595.11924270178</v>
      </c>
      <c r="H747" s="7">
        <v>1523.0118412189549</v>
      </c>
    </row>
    <row r="748" spans="1:8" x14ac:dyDescent="0.3">
      <c r="A748" s="7">
        <v>745</v>
      </c>
      <c r="B748" s="7">
        <v>1014.121802266484</v>
      </c>
      <c r="C748" s="7">
        <v>602.89961945363996</v>
      </c>
      <c r="D748" s="7">
        <v>131</v>
      </c>
      <c r="E748" s="7">
        <v>146</v>
      </c>
      <c r="F748" s="7">
        <v>7436.8916967509022</v>
      </c>
      <c r="G748" s="7">
        <v>2951.1571996072821</v>
      </c>
      <c r="H748" s="7">
        <v>2698.0343149010469</v>
      </c>
    </row>
    <row r="749" spans="1:8" x14ac:dyDescent="0.3">
      <c r="A749" s="7">
        <v>746</v>
      </c>
      <c r="B749" s="7">
        <v>967.45426559020927</v>
      </c>
      <c r="C749" s="7">
        <v>686.37251831344611</v>
      </c>
      <c r="D749" s="7">
        <v>129</v>
      </c>
      <c r="E749" s="7">
        <v>146</v>
      </c>
      <c r="F749" s="7">
        <v>6852.2909090909088</v>
      </c>
      <c r="G749" s="7">
        <v>2543.1332396118391</v>
      </c>
      <c r="H749" s="7">
        <v>2334.9250068623692</v>
      </c>
    </row>
    <row r="750" spans="1:8" x14ac:dyDescent="0.3">
      <c r="A750" s="7">
        <v>747</v>
      </c>
      <c r="B750" s="7">
        <v>1497.2112172689251</v>
      </c>
      <c r="C750" s="7">
        <v>802.60881404064457</v>
      </c>
      <c r="D750" s="7">
        <v>130</v>
      </c>
      <c r="E750" s="7">
        <v>146</v>
      </c>
      <c r="F750" s="7">
        <v>8147.253623188406</v>
      </c>
      <c r="G750" s="7">
        <v>3102.3613215147539</v>
      </c>
      <c r="H750" s="7">
        <v>2748.1729173328308</v>
      </c>
    </row>
    <row r="751" spans="1:8" x14ac:dyDescent="0.3">
      <c r="A751" s="7">
        <v>748</v>
      </c>
      <c r="B751" s="7">
        <v>903.64996560220288</v>
      </c>
      <c r="C751" s="7">
        <v>575.21294122466759</v>
      </c>
      <c r="D751" s="7">
        <v>129</v>
      </c>
      <c r="E751" s="7">
        <v>146</v>
      </c>
      <c r="F751" s="7">
        <v>5813.3672727272724</v>
      </c>
      <c r="G751" s="7">
        <v>2152.0033446416469</v>
      </c>
      <c r="H751" s="7">
        <v>1869.012128268952</v>
      </c>
    </row>
    <row r="752" spans="1:8" x14ac:dyDescent="0.3">
      <c r="A752" s="7">
        <v>749</v>
      </c>
      <c r="B752" s="7">
        <v>766.9534851768027</v>
      </c>
      <c r="C752" s="7">
        <v>447.77119367843471</v>
      </c>
      <c r="D752" s="7">
        <v>129</v>
      </c>
      <c r="E752" s="7">
        <v>146</v>
      </c>
      <c r="F752" s="7">
        <v>4606.5745454545458</v>
      </c>
      <c r="G752" s="7">
        <v>1627.0291064324249</v>
      </c>
      <c r="H752" s="7">
        <v>1324.6986863392899</v>
      </c>
    </row>
    <row r="753" spans="1:8" x14ac:dyDescent="0.3">
      <c r="A753" s="7">
        <v>750</v>
      </c>
      <c r="B753" s="7">
        <v>1997.3125062160741</v>
      </c>
      <c r="C753" s="7">
        <v>903.19544346305463</v>
      </c>
      <c r="D753" s="7">
        <v>128</v>
      </c>
      <c r="E753" s="7">
        <v>146</v>
      </c>
      <c r="F753" s="7">
        <v>5339.7372262773724</v>
      </c>
      <c r="G753" s="7">
        <v>1841.400630294776</v>
      </c>
      <c r="H753" s="7">
        <v>1719.356778820706</v>
      </c>
    </row>
    <row r="754" spans="1:8" x14ac:dyDescent="0.3">
      <c r="A754" s="7">
        <v>751</v>
      </c>
      <c r="B754" s="7">
        <v>510.67720640806812</v>
      </c>
      <c r="C754" s="7">
        <v>452.63210740415889</v>
      </c>
      <c r="D754" s="7">
        <v>129</v>
      </c>
      <c r="E754" s="7">
        <v>146</v>
      </c>
      <c r="F754" s="7">
        <v>4219.9854545454546</v>
      </c>
      <c r="G754" s="7">
        <v>1190.773991013584</v>
      </c>
      <c r="H754" s="7">
        <v>1074.896850737794</v>
      </c>
    </row>
    <row r="755" spans="1:8" x14ac:dyDescent="0.3">
      <c r="A755" s="7">
        <v>752</v>
      </c>
      <c r="B755" s="7">
        <v>968.36219408306908</v>
      </c>
      <c r="C755" s="7">
        <v>497.69427189271119</v>
      </c>
      <c r="D755" s="7">
        <v>129</v>
      </c>
      <c r="E755" s="7">
        <v>146</v>
      </c>
      <c r="F755" s="7">
        <v>5275.16</v>
      </c>
      <c r="G755" s="7">
        <v>2419.751058693128</v>
      </c>
      <c r="H755" s="7">
        <v>2036.895199757347</v>
      </c>
    </row>
    <row r="756" spans="1:8" x14ac:dyDescent="0.3">
      <c r="A756" s="7">
        <v>753</v>
      </c>
      <c r="B756" s="7">
        <v>1143.691907086951</v>
      </c>
      <c r="C756" s="7">
        <v>842.32552944596125</v>
      </c>
      <c r="D756" s="7">
        <v>129</v>
      </c>
      <c r="E756" s="7">
        <v>146</v>
      </c>
      <c r="F756" s="7">
        <v>8792.5781818181822</v>
      </c>
      <c r="G756" s="7">
        <v>3051.9554285710819</v>
      </c>
      <c r="H756" s="7">
        <v>2720.0274109718739</v>
      </c>
    </row>
    <row r="757" spans="1:8" x14ac:dyDescent="0.3">
      <c r="A757" s="7">
        <v>754</v>
      </c>
      <c r="B757" s="7">
        <v>1076.571193881922</v>
      </c>
      <c r="C757" s="7">
        <v>715.4971688339366</v>
      </c>
      <c r="D757" s="7">
        <v>131</v>
      </c>
      <c r="E757" s="7">
        <v>146</v>
      </c>
      <c r="F757" s="7">
        <v>7460.0685920577616</v>
      </c>
      <c r="G757" s="7">
        <v>2842.0223675060302</v>
      </c>
      <c r="H757" s="7">
        <v>2422.751970299279</v>
      </c>
    </row>
    <row r="758" spans="1:8" x14ac:dyDescent="0.3">
      <c r="A758" s="7">
        <v>755</v>
      </c>
      <c r="B758" s="7">
        <v>1563.7124976713769</v>
      </c>
      <c r="C758" s="7">
        <v>911.35788404388086</v>
      </c>
      <c r="D758" s="7">
        <v>129</v>
      </c>
      <c r="E758" s="7">
        <v>146</v>
      </c>
      <c r="F758" s="7">
        <v>10851.912727272729</v>
      </c>
      <c r="G758" s="7">
        <v>3095.2979468614908</v>
      </c>
      <c r="H758" s="7">
        <v>2595.2480244129219</v>
      </c>
    </row>
    <row r="759" spans="1:8" x14ac:dyDescent="0.3">
      <c r="A759" s="7">
        <v>756</v>
      </c>
      <c r="B759" s="7">
        <v>2297.6978932302459</v>
      </c>
      <c r="C759" s="7">
        <v>1609.027252918713</v>
      </c>
      <c r="D759" s="7">
        <v>129</v>
      </c>
      <c r="E759" s="7">
        <v>146</v>
      </c>
      <c r="F759" s="7">
        <v>16840.098181818179</v>
      </c>
      <c r="G759" s="7">
        <v>5468.241548766744</v>
      </c>
      <c r="H759" s="7">
        <v>4343.9469332513854</v>
      </c>
    </row>
    <row r="760" spans="1:8" x14ac:dyDescent="0.3">
      <c r="A760" s="7">
        <v>757</v>
      </c>
      <c r="B760" s="7">
        <v>884.71535378319084</v>
      </c>
      <c r="C760" s="7">
        <v>591.27983552457647</v>
      </c>
      <c r="D760" s="7">
        <v>128</v>
      </c>
      <c r="E760" s="7">
        <v>146</v>
      </c>
      <c r="F760" s="7">
        <v>6944.1131386861316</v>
      </c>
      <c r="G760" s="7">
        <v>1988.0648155775759</v>
      </c>
      <c r="H760" s="7">
        <v>1738.4267293017231</v>
      </c>
    </row>
    <row r="761" spans="1:8" x14ac:dyDescent="0.3">
      <c r="A761" s="7">
        <v>758</v>
      </c>
      <c r="B761" s="7">
        <v>817.3066052055176</v>
      </c>
      <c r="C761" s="7">
        <v>402.82231355429872</v>
      </c>
      <c r="D761" s="7">
        <v>126</v>
      </c>
      <c r="E761" s="7">
        <v>146</v>
      </c>
      <c r="F761" s="7">
        <v>4920.0477941176468</v>
      </c>
      <c r="G761" s="7">
        <v>1420.090962322429</v>
      </c>
      <c r="H761" s="7">
        <v>1074.493840698321</v>
      </c>
    </row>
    <row r="762" spans="1:8" x14ac:dyDescent="0.3">
      <c r="A762" s="7">
        <v>759</v>
      </c>
      <c r="B762" s="7">
        <v>1143.528073869843</v>
      </c>
      <c r="C762" s="7">
        <v>591.83609288229911</v>
      </c>
      <c r="D762" s="7">
        <v>129</v>
      </c>
      <c r="E762" s="7">
        <v>146</v>
      </c>
      <c r="F762" s="7">
        <v>7397.2690909090907</v>
      </c>
      <c r="G762" s="7">
        <v>2914.0157525657869</v>
      </c>
      <c r="H762" s="7">
        <v>2449.680608200134</v>
      </c>
    </row>
    <row r="763" spans="1:8" x14ac:dyDescent="0.3">
      <c r="A763" s="7">
        <v>760</v>
      </c>
      <c r="B763" s="7">
        <v>862.16665772860961</v>
      </c>
      <c r="C763" s="7">
        <v>780.33435927854009</v>
      </c>
      <c r="D763" s="7">
        <v>131</v>
      </c>
      <c r="E763" s="7">
        <v>146</v>
      </c>
      <c r="F763" s="7">
        <v>7750.9638989169671</v>
      </c>
      <c r="G763" s="7">
        <v>1227.8969298068171</v>
      </c>
      <c r="H763" s="7">
        <v>1064.4443627404221</v>
      </c>
    </row>
    <row r="764" spans="1:8" x14ac:dyDescent="0.3">
      <c r="A764" s="7">
        <v>761</v>
      </c>
      <c r="B764" s="7">
        <v>1010.635853128037</v>
      </c>
      <c r="C764" s="7">
        <v>778.75608396798418</v>
      </c>
      <c r="D764" s="7">
        <v>131</v>
      </c>
      <c r="E764" s="7">
        <v>146</v>
      </c>
      <c r="F764" s="7">
        <v>9187.1768953068586</v>
      </c>
      <c r="G764" s="7">
        <v>2431.3037639024901</v>
      </c>
      <c r="H764" s="7">
        <v>2170.321868686447</v>
      </c>
    </row>
    <row r="765" spans="1:8" x14ac:dyDescent="0.3">
      <c r="A765" s="7">
        <v>762</v>
      </c>
      <c r="B765" s="7">
        <v>776.78491004553268</v>
      </c>
      <c r="C765" s="7">
        <v>527.34114988550243</v>
      </c>
      <c r="D765" s="7">
        <v>128</v>
      </c>
      <c r="E765" s="7">
        <v>146</v>
      </c>
      <c r="F765" s="7">
        <v>4374.4160583941602</v>
      </c>
      <c r="G765" s="7">
        <v>1558.591932643051</v>
      </c>
      <c r="H765" s="7">
        <v>1403.7873136333039</v>
      </c>
    </row>
    <row r="766" spans="1:8" x14ac:dyDescent="0.3">
      <c r="A766" s="7">
        <v>763</v>
      </c>
      <c r="B766" s="7">
        <v>1035.9335840418851</v>
      </c>
      <c r="C766" s="7">
        <v>728.58866818571721</v>
      </c>
      <c r="D766" s="7">
        <v>131</v>
      </c>
      <c r="E766" s="7">
        <v>146</v>
      </c>
      <c r="F766" s="7">
        <v>6055.3754512635378</v>
      </c>
      <c r="G766" s="7">
        <v>1885.895458234447</v>
      </c>
      <c r="H766" s="7">
        <v>1668.8451075970729</v>
      </c>
    </row>
    <row r="767" spans="1:8" x14ac:dyDescent="0.3">
      <c r="A767" s="7">
        <v>764</v>
      </c>
      <c r="B767" s="7">
        <v>722.27661144065598</v>
      </c>
      <c r="C767" s="7">
        <v>460.74695736947268</v>
      </c>
      <c r="D767" s="7">
        <v>129</v>
      </c>
      <c r="E767" s="7">
        <v>146</v>
      </c>
      <c r="F767" s="7">
        <v>3816.6981818181821</v>
      </c>
      <c r="G767" s="7">
        <v>1309.7790067456519</v>
      </c>
      <c r="H767" s="7">
        <v>1072.5670142233539</v>
      </c>
    </row>
    <row r="768" spans="1:8" x14ac:dyDescent="0.3">
      <c r="A768" s="7">
        <v>765</v>
      </c>
      <c r="B768" s="7">
        <v>1515.0139412271919</v>
      </c>
      <c r="C768" s="7">
        <v>880.12024414990719</v>
      </c>
      <c r="D768" s="7">
        <v>128</v>
      </c>
      <c r="E768" s="7">
        <v>146</v>
      </c>
      <c r="F768" s="7">
        <v>8734.4379562043796</v>
      </c>
      <c r="G768" s="7">
        <v>2498.9312606217281</v>
      </c>
      <c r="H768" s="7">
        <v>2106.9055134167161</v>
      </c>
    </row>
    <row r="769" spans="1:8" x14ac:dyDescent="0.3">
      <c r="A769" s="7">
        <v>766</v>
      </c>
      <c r="B769" s="7">
        <v>2033.04273120023</v>
      </c>
      <c r="C769" s="7">
        <v>996.73241303102543</v>
      </c>
      <c r="D769" s="7">
        <v>128</v>
      </c>
      <c r="E769" s="7">
        <v>146</v>
      </c>
      <c r="F769" s="7">
        <v>6786.4306569343062</v>
      </c>
      <c r="G769" s="7">
        <v>1996.460923421743</v>
      </c>
      <c r="H769" s="7">
        <v>1819.844869574071</v>
      </c>
    </row>
    <row r="770" spans="1:8" x14ac:dyDescent="0.3">
      <c r="A770" s="7">
        <v>767</v>
      </c>
      <c r="B770" s="7">
        <v>1008.383820551526</v>
      </c>
      <c r="C770" s="7">
        <v>607.02884476962129</v>
      </c>
      <c r="D770" s="7">
        <v>131</v>
      </c>
      <c r="E770" s="7">
        <v>146</v>
      </c>
      <c r="F770" s="7">
        <v>5953.7003610108304</v>
      </c>
      <c r="G770" s="7">
        <v>2031.2683135991811</v>
      </c>
      <c r="H770" s="7">
        <v>1757.17696616219</v>
      </c>
    </row>
    <row r="771" spans="1:8" x14ac:dyDescent="0.3">
      <c r="A771" s="7">
        <v>768</v>
      </c>
      <c r="B771" s="7">
        <v>1834.434569795332</v>
      </c>
      <c r="C771" s="7">
        <v>1006.8832662313</v>
      </c>
      <c r="D771" s="7">
        <v>131</v>
      </c>
      <c r="E771" s="7">
        <v>146</v>
      </c>
      <c r="F771" s="7">
        <v>13163.00722021661</v>
      </c>
      <c r="G771" s="7">
        <v>4452.5718753708516</v>
      </c>
      <c r="H771" s="7">
        <v>4005.1497620486498</v>
      </c>
    </row>
    <row r="772" spans="1:8" x14ac:dyDescent="0.3">
      <c r="A772" s="7">
        <v>769</v>
      </c>
      <c r="B772" s="7">
        <v>1025.080280928516</v>
      </c>
      <c r="C772" s="7">
        <v>1285.90642115526</v>
      </c>
      <c r="D772" s="7">
        <v>135</v>
      </c>
      <c r="E772" s="7">
        <v>201</v>
      </c>
      <c r="F772" s="7">
        <v>12176.976190476191</v>
      </c>
      <c r="G772" s="7">
        <v>2146.725668616346</v>
      </c>
      <c r="H772" s="7">
        <v>1899.357262325929</v>
      </c>
    </row>
    <row r="773" spans="1:8" x14ac:dyDescent="0.3">
      <c r="A773" s="7">
        <v>770</v>
      </c>
      <c r="B773" s="7">
        <v>1511.946393262303</v>
      </c>
      <c r="C773" s="7">
        <v>1045.7782680200901</v>
      </c>
      <c r="D773" s="7">
        <v>129</v>
      </c>
      <c r="E773" s="7">
        <v>146</v>
      </c>
      <c r="F773" s="7">
        <v>6156.0254545454554</v>
      </c>
      <c r="G773" s="7">
        <v>2319.9562312096932</v>
      </c>
      <c r="H773" s="7">
        <v>2070.93852557538</v>
      </c>
    </row>
    <row r="774" spans="1:8" x14ac:dyDescent="0.3">
      <c r="A774" s="7">
        <v>771</v>
      </c>
      <c r="B774" s="7">
        <v>1623.65857644366</v>
      </c>
      <c r="C774" s="7">
        <v>719.40617102535225</v>
      </c>
      <c r="D774" s="7">
        <v>128</v>
      </c>
      <c r="E774" s="7">
        <v>146</v>
      </c>
      <c r="F774" s="7">
        <v>6846.3832116788317</v>
      </c>
      <c r="G774" s="7">
        <v>1792.6814391261771</v>
      </c>
      <c r="H774" s="7">
        <v>1676.6038651237641</v>
      </c>
    </row>
    <row r="775" spans="1:8" x14ac:dyDescent="0.3">
      <c r="A775" s="7">
        <v>772</v>
      </c>
      <c r="B775" s="7">
        <v>794.77864575003343</v>
      </c>
      <c r="C775" s="7">
        <v>377.91618771119511</v>
      </c>
      <c r="D775" s="7">
        <v>129</v>
      </c>
      <c r="E775" s="7">
        <v>146</v>
      </c>
      <c r="F775" s="7">
        <v>4061.8872727272728</v>
      </c>
      <c r="G775" s="7">
        <v>1352.1399605322731</v>
      </c>
      <c r="H775" s="7">
        <v>1011.857243978507</v>
      </c>
    </row>
    <row r="776" spans="1:8" x14ac:dyDescent="0.3">
      <c r="A776" s="7">
        <v>773</v>
      </c>
      <c r="B776" s="7">
        <v>833.09228577614113</v>
      </c>
      <c r="C776" s="7">
        <v>733.1349937029471</v>
      </c>
      <c r="D776" s="7">
        <v>129</v>
      </c>
      <c r="E776" s="7">
        <v>146</v>
      </c>
      <c r="F776" s="7">
        <v>5396.5890909090913</v>
      </c>
      <c r="G776" s="7">
        <v>1300.3175938828331</v>
      </c>
      <c r="H776" s="7">
        <v>912.91939508250573</v>
      </c>
    </row>
    <row r="777" spans="1:8" x14ac:dyDescent="0.3">
      <c r="A777" s="7">
        <v>774</v>
      </c>
      <c r="B777" s="7">
        <v>698.13561632348819</v>
      </c>
      <c r="C777" s="7">
        <v>548.57297239264403</v>
      </c>
      <c r="D777" s="7">
        <v>131</v>
      </c>
      <c r="E777" s="7">
        <v>146</v>
      </c>
      <c r="F777" s="7">
        <v>5539.4981949458488</v>
      </c>
      <c r="G777" s="7">
        <v>1262.8294748075641</v>
      </c>
      <c r="H777" s="7">
        <v>1072.326200114524</v>
      </c>
    </row>
    <row r="778" spans="1:8" x14ac:dyDescent="0.3">
      <c r="A778" s="7">
        <v>775</v>
      </c>
      <c r="B778" s="7">
        <v>1690.1753844067009</v>
      </c>
      <c r="C778" s="7">
        <v>1041.069801063564</v>
      </c>
      <c r="D778" s="7">
        <v>128</v>
      </c>
      <c r="E778" s="7">
        <v>146</v>
      </c>
      <c r="F778" s="7">
        <v>8622.1277372262775</v>
      </c>
      <c r="G778" s="7">
        <v>2780.8329406402681</v>
      </c>
      <c r="H778" s="7">
        <v>2527.6700991500029</v>
      </c>
    </row>
    <row r="779" spans="1:8" x14ac:dyDescent="0.3">
      <c r="A779" s="7">
        <v>776</v>
      </c>
      <c r="B779" s="7">
        <v>786.45299413549947</v>
      </c>
      <c r="C779" s="7">
        <v>531.53234152067046</v>
      </c>
      <c r="D779" s="7">
        <v>127</v>
      </c>
      <c r="E779" s="7">
        <v>146</v>
      </c>
      <c r="F779" s="7">
        <v>4906.1391941391939</v>
      </c>
      <c r="G779" s="7">
        <v>1751.6666439411531</v>
      </c>
      <c r="H779" s="7">
        <v>1520.5245737744769</v>
      </c>
    </row>
    <row r="780" spans="1:8" x14ac:dyDescent="0.3">
      <c r="A780" s="7">
        <v>777</v>
      </c>
      <c r="B780" s="7">
        <v>746.7460363403859</v>
      </c>
      <c r="C780" s="7">
        <v>465.42487250400029</v>
      </c>
      <c r="D780" s="7">
        <v>128</v>
      </c>
      <c r="E780" s="7">
        <v>146</v>
      </c>
      <c r="F780" s="7">
        <v>4604.9270072992704</v>
      </c>
      <c r="G780" s="7">
        <v>1428.816194879523</v>
      </c>
      <c r="H780" s="7">
        <v>1265.9803824574551</v>
      </c>
    </row>
    <row r="781" spans="1:8" x14ac:dyDescent="0.3">
      <c r="A781" s="7">
        <v>778</v>
      </c>
      <c r="B781" s="7">
        <v>1959.3095749779959</v>
      </c>
      <c r="C781" s="7">
        <v>762.18451366381021</v>
      </c>
      <c r="D781" s="7">
        <v>128</v>
      </c>
      <c r="E781" s="7">
        <v>146</v>
      </c>
      <c r="F781" s="7">
        <v>5827.2007299270072</v>
      </c>
      <c r="G781" s="7">
        <v>1715.1258677390119</v>
      </c>
      <c r="H781" s="7">
        <v>1600.9332808905599</v>
      </c>
    </row>
    <row r="782" spans="1:8" x14ac:dyDescent="0.3">
      <c r="A782" s="7">
        <v>779</v>
      </c>
      <c r="B782" s="7">
        <v>1130.313126404425</v>
      </c>
      <c r="C782" s="7">
        <v>686.18222088293282</v>
      </c>
      <c r="D782" s="7">
        <v>131</v>
      </c>
      <c r="E782" s="7">
        <v>146</v>
      </c>
      <c r="F782" s="7">
        <v>7210.6606498194942</v>
      </c>
      <c r="G782" s="7">
        <v>2913.5678162430559</v>
      </c>
      <c r="H782" s="7">
        <v>2444.9727902791642</v>
      </c>
    </row>
    <row r="783" spans="1:8" x14ac:dyDescent="0.3">
      <c r="A783" s="7">
        <v>780</v>
      </c>
      <c r="B783" s="7">
        <v>1026.267354449257</v>
      </c>
      <c r="C783" s="7">
        <v>527.9479697386613</v>
      </c>
      <c r="D783" s="7">
        <v>131</v>
      </c>
      <c r="E783" s="7">
        <v>146</v>
      </c>
      <c r="F783" s="7">
        <v>6604.6498194945852</v>
      </c>
      <c r="G783" s="7">
        <v>2452.8008931370782</v>
      </c>
      <c r="H783" s="7">
        <v>2136.579456508136</v>
      </c>
    </row>
    <row r="784" spans="1:8" x14ac:dyDescent="0.3">
      <c r="A784" s="7">
        <v>781</v>
      </c>
      <c r="B784" s="7">
        <v>620.46921686449696</v>
      </c>
      <c r="C784" s="7">
        <v>524.1057747322418</v>
      </c>
      <c r="D784" s="7">
        <v>130</v>
      </c>
      <c r="E784" s="7">
        <v>146</v>
      </c>
      <c r="F784" s="7">
        <v>4995.786231884058</v>
      </c>
      <c r="G784" s="7">
        <v>1910.343126649886</v>
      </c>
      <c r="H784" s="7">
        <v>1703.089692294566</v>
      </c>
    </row>
    <row r="785" spans="1:8" x14ac:dyDescent="0.3">
      <c r="A785" s="7">
        <v>782</v>
      </c>
      <c r="B785" s="7">
        <v>952.8175638538977</v>
      </c>
      <c r="C785" s="7">
        <v>519.31745616127944</v>
      </c>
      <c r="D785" s="7">
        <v>129</v>
      </c>
      <c r="E785" s="7">
        <v>146</v>
      </c>
      <c r="F785" s="7">
        <v>5792.6581818181821</v>
      </c>
      <c r="G785" s="7">
        <v>1754.3014400711349</v>
      </c>
      <c r="H785" s="7">
        <v>1441.950780988908</v>
      </c>
    </row>
    <row r="786" spans="1:8" x14ac:dyDescent="0.3">
      <c r="A786" s="7">
        <v>783</v>
      </c>
      <c r="B786" s="7">
        <v>1105.466413648259</v>
      </c>
      <c r="C786" s="7">
        <v>666.4215554433257</v>
      </c>
      <c r="D786" s="7">
        <v>131</v>
      </c>
      <c r="E786" s="7">
        <v>146</v>
      </c>
      <c r="F786" s="7">
        <v>7031.8267148014438</v>
      </c>
      <c r="G786" s="7">
        <v>2011.947345766634</v>
      </c>
      <c r="H786" s="7">
        <v>1789.655444377225</v>
      </c>
    </row>
    <row r="787" spans="1:8" x14ac:dyDescent="0.3">
      <c r="A787" s="7">
        <v>784</v>
      </c>
      <c r="B787" s="7">
        <v>982.53211918056206</v>
      </c>
      <c r="C787" s="7">
        <v>546.1019401379715</v>
      </c>
      <c r="D787" s="7">
        <v>129</v>
      </c>
      <c r="E787" s="7">
        <v>146</v>
      </c>
      <c r="F787" s="7">
        <v>6913.9418181818182</v>
      </c>
      <c r="G787" s="7">
        <v>2582.3764564429212</v>
      </c>
      <c r="H787" s="7">
        <v>2226.8302215518002</v>
      </c>
    </row>
    <row r="788" spans="1:8" x14ac:dyDescent="0.3">
      <c r="A788" s="7">
        <v>785</v>
      </c>
      <c r="B788" s="7">
        <v>1398.2894452501159</v>
      </c>
      <c r="C788" s="7">
        <v>898.06973653344971</v>
      </c>
      <c r="D788" s="7">
        <v>129</v>
      </c>
      <c r="E788" s="7">
        <v>146</v>
      </c>
      <c r="F788" s="7">
        <v>7645.3272727272724</v>
      </c>
      <c r="G788" s="7">
        <v>3148.3823199475219</v>
      </c>
      <c r="H788" s="7">
        <v>2752.7422553987021</v>
      </c>
    </row>
    <row r="789" spans="1:8" x14ac:dyDescent="0.3">
      <c r="A789" s="7">
        <v>786</v>
      </c>
      <c r="B789" s="7">
        <v>453.86247082694052</v>
      </c>
      <c r="C789" s="7">
        <v>351.42996625318062</v>
      </c>
      <c r="D789" s="7">
        <v>130</v>
      </c>
      <c r="E789" s="7">
        <v>146</v>
      </c>
      <c r="F789" s="7">
        <v>3541.018115942029</v>
      </c>
      <c r="G789" s="7">
        <v>1297.6345165190151</v>
      </c>
      <c r="H789" s="7">
        <v>1043.6177920533989</v>
      </c>
    </row>
    <row r="790" spans="1:8" x14ac:dyDescent="0.3">
      <c r="A790" s="7">
        <v>787</v>
      </c>
      <c r="B790" s="7">
        <v>1654.8565452257531</v>
      </c>
      <c r="C790" s="7">
        <v>803.39448508981957</v>
      </c>
      <c r="D790" s="7">
        <v>131</v>
      </c>
      <c r="E790" s="7">
        <v>146</v>
      </c>
      <c r="F790" s="7">
        <v>10558.447653429601</v>
      </c>
      <c r="G790" s="7">
        <v>3390.1097248562451</v>
      </c>
      <c r="H790" s="7">
        <v>2759.161739885742</v>
      </c>
    </row>
    <row r="791" spans="1:8" x14ac:dyDescent="0.3">
      <c r="A791" s="7">
        <v>788</v>
      </c>
      <c r="B791" s="7">
        <v>1554.0934783742271</v>
      </c>
      <c r="C791" s="7">
        <v>1078.347639409008</v>
      </c>
      <c r="D791" s="7">
        <v>131</v>
      </c>
      <c r="E791" s="7">
        <v>146</v>
      </c>
      <c r="F791" s="7">
        <v>18250.797833935019</v>
      </c>
      <c r="G791" s="7">
        <v>3771.432635237888</v>
      </c>
      <c r="H791" s="7">
        <v>3192.0292253271218</v>
      </c>
    </row>
    <row r="792" spans="1:8" x14ac:dyDescent="0.3">
      <c r="A792" s="7">
        <v>789</v>
      </c>
      <c r="B792" s="7">
        <v>715.54785096278658</v>
      </c>
      <c r="C792" s="7">
        <v>525.70402449717801</v>
      </c>
      <c r="D792" s="7">
        <v>128</v>
      </c>
      <c r="E792" s="7">
        <v>146</v>
      </c>
      <c r="F792" s="7">
        <v>3761.7262773722632</v>
      </c>
      <c r="G792" s="7">
        <v>794.84030432219527</v>
      </c>
      <c r="H792" s="7">
        <v>612.63424584174379</v>
      </c>
    </row>
    <row r="793" spans="1:8" x14ac:dyDescent="0.3">
      <c r="A793" s="7">
        <v>790</v>
      </c>
      <c r="B793" s="7">
        <v>1020.164133234582</v>
      </c>
      <c r="C793" s="7">
        <v>632.1959162249949</v>
      </c>
      <c r="D793" s="7">
        <v>129</v>
      </c>
      <c r="E793" s="7">
        <v>146</v>
      </c>
      <c r="F793" s="7">
        <v>7560.9345454545464</v>
      </c>
      <c r="G793" s="7">
        <v>2218.7847938095101</v>
      </c>
      <c r="H793" s="7">
        <v>1916.6516036731909</v>
      </c>
    </row>
    <row r="794" spans="1:8" x14ac:dyDescent="0.3">
      <c r="A794" s="7">
        <v>791</v>
      </c>
      <c r="B794" s="7">
        <v>1172.119515153687</v>
      </c>
      <c r="C794" s="7">
        <v>732.4275020949309</v>
      </c>
      <c r="D794" s="7">
        <v>129</v>
      </c>
      <c r="E794" s="7">
        <v>146</v>
      </c>
      <c r="F794" s="7">
        <v>8689.2690909090907</v>
      </c>
      <c r="G794" s="7">
        <v>3029.3581790115518</v>
      </c>
      <c r="H794" s="7">
        <v>2505.864602110335</v>
      </c>
    </row>
    <row r="795" spans="1:8" x14ac:dyDescent="0.3">
      <c r="A795" s="7">
        <v>792</v>
      </c>
      <c r="B795" s="7">
        <v>1178.4379892291911</v>
      </c>
      <c r="C795" s="7">
        <v>516.64204560224528</v>
      </c>
      <c r="D795" s="7">
        <v>129</v>
      </c>
      <c r="E795" s="7">
        <v>146</v>
      </c>
      <c r="F795" s="7">
        <v>7116.8909090909092</v>
      </c>
      <c r="G795" s="7">
        <v>3034.213737980886</v>
      </c>
      <c r="H795" s="7">
        <v>2616.6979727935582</v>
      </c>
    </row>
    <row r="796" spans="1:8" x14ac:dyDescent="0.3">
      <c r="A796" s="7">
        <v>793</v>
      </c>
      <c r="B796" s="7">
        <v>844.78586393632236</v>
      </c>
      <c r="C796" s="7">
        <v>557.84877605313682</v>
      </c>
      <c r="D796" s="7">
        <v>129</v>
      </c>
      <c r="E796" s="7">
        <v>146</v>
      </c>
      <c r="F796" s="7">
        <v>5122.0327272727272</v>
      </c>
      <c r="G796" s="7">
        <v>2502.0964527601109</v>
      </c>
      <c r="H796" s="7">
        <v>2261.831835796962</v>
      </c>
    </row>
    <row r="797" spans="1:8" x14ac:dyDescent="0.3">
      <c r="A797" s="7">
        <v>794</v>
      </c>
      <c r="B797" s="7">
        <v>654.84751591129066</v>
      </c>
      <c r="C797" s="7">
        <v>441.57843698046997</v>
      </c>
      <c r="D797" s="7">
        <v>131</v>
      </c>
      <c r="E797" s="7">
        <v>146</v>
      </c>
      <c r="F797" s="7">
        <v>3388.6389891696749</v>
      </c>
      <c r="G797" s="7">
        <v>718.11979374470593</v>
      </c>
      <c r="H797" s="7">
        <v>550.03322440122236</v>
      </c>
    </row>
    <row r="798" spans="1:8" x14ac:dyDescent="0.3">
      <c r="A798" s="7">
        <v>795</v>
      </c>
      <c r="B798" s="7">
        <v>912.65584232591073</v>
      </c>
      <c r="C798" s="7">
        <v>571.51700002808661</v>
      </c>
      <c r="D798" s="7">
        <v>129</v>
      </c>
      <c r="E798" s="7">
        <v>146</v>
      </c>
      <c r="F798" s="7">
        <v>4731.3818181818178</v>
      </c>
      <c r="G798" s="7">
        <v>2132.146859988341</v>
      </c>
      <c r="H798" s="7">
        <v>1873.9193214457421</v>
      </c>
    </row>
    <row r="799" spans="1:8" x14ac:dyDescent="0.3">
      <c r="A799" s="7">
        <v>796</v>
      </c>
      <c r="B799" s="7">
        <v>884.52611221703194</v>
      </c>
      <c r="C799" s="7">
        <v>653.9404742545629</v>
      </c>
      <c r="D799" s="7">
        <v>129</v>
      </c>
      <c r="E799" s="7">
        <v>146</v>
      </c>
      <c r="F799" s="7">
        <v>7675.596363636364</v>
      </c>
      <c r="G799" s="7">
        <v>2565.2994762991661</v>
      </c>
      <c r="H799" s="7">
        <v>2253.0347008010549</v>
      </c>
    </row>
    <row r="800" spans="1:8" x14ac:dyDescent="0.3">
      <c r="A800" s="7">
        <v>797</v>
      </c>
      <c r="B800" s="7">
        <v>2144.9052319647431</v>
      </c>
      <c r="C800" s="7">
        <v>843.69578028514809</v>
      </c>
      <c r="D800" s="7">
        <v>128</v>
      </c>
      <c r="E800" s="7">
        <v>146</v>
      </c>
      <c r="F800" s="7">
        <v>5099.6569343065694</v>
      </c>
      <c r="G800" s="7">
        <v>1361.607313641676</v>
      </c>
      <c r="H800" s="7">
        <v>1227.71744998037</v>
      </c>
    </row>
    <row r="801" spans="1:8" x14ac:dyDescent="0.3">
      <c r="A801" s="7">
        <v>798</v>
      </c>
      <c r="B801" s="7">
        <v>1094.8009949932909</v>
      </c>
      <c r="C801" s="7">
        <v>588.69613755411342</v>
      </c>
      <c r="D801" s="7">
        <v>131</v>
      </c>
      <c r="E801" s="7">
        <v>146</v>
      </c>
      <c r="F801" s="7">
        <v>7516.1805054151628</v>
      </c>
      <c r="G801" s="7">
        <v>2764.1757423056779</v>
      </c>
      <c r="H801" s="7">
        <v>2444.525897390678</v>
      </c>
    </row>
    <row r="802" spans="1:8" x14ac:dyDescent="0.3">
      <c r="A802" s="7">
        <v>799</v>
      </c>
      <c r="B802" s="7">
        <v>1169.7935347124121</v>
      </c>
      <c r="C802" s="7">
        <v>862.17572111636616</v>
      </c>
      <c r="D802" s="7">
        <v>129</v>
      </c>
      <c r="E802" s="7">
        <v>146</v>
      </c>
      <c r="F802" s="7">
        <v>10108.53454545455</v>
      </c>
      <c r="G802" s="7">
        <v>2771.899958484245</v>
      </c>
      <c r="H802" s="7">
        <v>2484.8672368823859</v>
      </c>
    </row>
    <row r="803" spans="1:8" x14ac:dyDescent="0.3">
      <c r="A803" s="7">
        <v>800</v>
      </c>
      <c r="B803" s="7">
        <v>933.19522725822765</v>
      </c>
      <c r="C803" s="7">
        <v>442.01026974383859</v>
      </c>
      <c r="D803" s="7">
        <v>129</v>
      </c>
      <c r="E803" s="7">
        <v>146</v>
      </c>
      <c r="F803" s="7">
        <v>4799.545454545455</v>
      </c>
      <c r="G803" s="7">
        <v>1913.7748605973129</v>
      </c>
      <c r="H803" s="7">
        <v>1607.3058032637971</v>
      </c>
    </row>
    <row r="804" spans="1:8" x14ac:dyDescent="0.3">
      <c r="A804" s="7">
        <v>801</v>
      </c>
      <c r="B804" s="7">
        <v>986.10853393184766</v>
      </c>
      <c r="C804" s="7">
        <v>572.87061780185752</v>
      </c>
      <c r="D804" s="7">
        <v>131</v>
      </c>
      <c r="E804" s="7">
        <v>146</v>
      </c>
      <c r="F804" s="7">
        <v>4911.707581227437</v>
      </c>
      <c r="G804" s="7">
        <v>1851.879697014291</v>
      </c>
      <c r="H804" s="7">
        <v>1683.6994879590079</v>
      </c>
    </row>
    <row r="805" spans="1:8" x14ac:dyDescent="0.3">
      <c r="A805" s="7">
        <v>802</v>
      </c>
      <c r="B805" s="7">
        <v>1070.745828367275</v>
      </c>
      <c r="C805" s="7">
        <v>708.51876074643474</v>
      </c>
      <c r="D805" s="7">
        <v>131</v>
      </c>
      <c r="E805" s="7">
        <v>146</v>
      </c>
      <c r="F805" s="7">
        <v>6992.4981949458488</v>
      </c>
      <c r="G805" s="7">
        <v>2594.526241888359</v>
      </c>
      <c r="H805" s="7">
        <v>2228.3437073490691</v>
      </c>
    </row>
    <row r="806" spans="1:8" x14ac:dyDescent="0.3">
      <c r="A806" s="7">
        <v>803</v>
      </c>
      <c r="B806" s="7">
        <v>952.01888791926024</v>
      </c>
      <c r="C806" s="7">
        <v>665.88248054436087</v>
      </c>
      <c r="D806" s="7">
        <v>129</v>
      </c>
      <c r="E806" s="7">
        <v>146</v>
      </c>
      <c r="F806" s="7">
        <v>5880.0072727272727</v>
      </c>
      <c r="G806" s="7">
        <v>2243.2616031473099</v>
      </c>
      <c r="H806" s="7">
        <v>2027.546661794353</v>
      </c>
    </row>
    <row r="807" spans="1:8" x14ac:dyDescent="0.3">
      <c r="A807" s="7">
        <v>804</v>
      </c>
      <c r="B807" s="7">
        <v>2424.890668455454</v>
      </c>
      <c r="C807" s="7">
        <v>995.98967580031126</v>
      </c>
      <c r="D807" s="7">
        <v>128</v>
      </c>
      <c r="E807" s="7">
        <v>146</v>
      </c>
      <c r="F807" s="7">
        <v>5094.3065693430653</v>
      </c>
      <c r="G807" s="7">
        <v>1468.467797357164</v>
      </c>
      <c r="H807" s="7">
        <v>1412.676198247812</v>
      </c>
    </row>
    <row r="808" spans="1:8" x14ac:dyDescent="0.3">
      <c r="A808" s="7">
        <v>805</v>
      </c>
      <c r="B808" s="7">
        <v>1993.1064046922299</v>
      </c>
      <c r="C808" s="7">
        <v>893.51857919206145</v>
      </c>
      <c r="D808" s="7">
        <v>128</v>
      </c>
      <c r="E808" s="7">
        <v>146</v>
      </c>
      <c r="F808" s="7">
        <v>5638.0729927007296</v>
      </c>
      <c r="G808" s="7">
        <v>2187.866149713574</v>
      </c>
      <c r="H808" s="7">
        <v>2042.077003029359</v>
      </c>
    </row>
    <row r="809" spans="1:8" x14ac:dyDescent="0.3">
      <c r="A809" s="7">
        <v>806</v>
      </c>
      <c r="B809" s="7">
        <v>1672.8112451927891</v>
      </c>
      <c r="C809" s="7">
        <v>732.79041742343315</v>
      </c>
      <c r="D809" s="7">
        <v>128</v>
      </c>
      <c r="E809" s="7">
        <v>146</v>
      </c>
      <c r="F809" s="7">
        <v>7029.6167883211683</v>
      </c>
      <c r="G809" s="7">
        <v>2797.2579989160809</v>
      </c>
      <c r="H809" s="7">
        <v>2616.0866295718611</v>
      </c>
    </row>
    <row r="810" spans="1:8" x14ac:dyDescent="0.3">
      <c r="A810" s="7">
        <v>807</v>
      </c>
      <c r="B810" s="7">
        <v>1006.497781537054</v>
      </c>
      <c r="C810" s="7">
        <v>796.21881744923905</v>
      </c>
      <c r="D810" s="7">
        <v>129</v>
      </c>
      <c r="E810" s="7">
        <v>146</v>
      </c>
      <c r="F810" s="7">
        <v>9977.2327272727271</v>
      </c>
      <c r="G810" s="7">
        <v>2333.100037063507</v>
      </c>
      <c r="H810" s="7">
        <v>1969.129110052156</v>
      </c>
    </row>
    <row r="811" spans="1:8" x14ac:dyDescent="0.3">
      <c r="A811" s="7">
        <v>808</v>
      </c>
      <c r="B811" s="7">
        <v>1068.9429503272529</v>
      </c>
      <c r="C811" s="7">
        <v>675.62683302586231</v>
      </c>
      <c r="D811" s="7">
        <v>131</v>
      </c>
      <c r="E811" s="7">
        <v>146</v>
      </c>
      <c r="F811" s="7">
        <v>7541.3321299638992</v>
      </c>
      <c r="G811" s="7">
        <v>2334.9957451290979</v>
      </c>
      <c r="H811" s="7">
        <v>1981.0488504691659</v>
      </c>
    </row>
    <row r="812" spans="1:8" x14ac:dyDescent="0.3">
      <c r="A812" s="7">
        <v>809</v>
      </c>
      <c r="B812" s="7">
        <v>1990.100582847032</v>
      </c>
      <c r="C812" s="7">
        <v>689.19006303257208</v>
      </c>
      <c r="D812" s="7">
        <v>129</v>
      </c>
      <c r="E812" s="7">
        <v>146</v>
      </c>
      <c r="F812" s="7">
        <v>9522.5309090909086</v>
      </c>
      <c r="G812" s="7">
        <v>4166.6478291047042</v>
      </c>
      <c r="H812" s="7">
        <v>3343.8936905497799</v>
      </c>
    </row>
    <row r="813" spans="1:8" x14ac:dyDescent="0.3">
      <c r="A813" s="7">
        <v>810</v>
      </c>
      <c r="B813" s="7">
        <v>865.39592031749521</v>
      </c>
      <c r="C813" s="7">
        <v>592.43286460320508</v>
      </c>
      <c r="D813" s="7">
        <v>129</v>
      </c>
      <c r="E813" s="7">
        <v>146</v>
      </c>
      <c r="F813" s="7">
        <v>5928.1781818181817</v>
      </c>
      <c r="G813" s="7">
        <v>1832.507990401057</v>
      </c>
      <c r="H813" s="7">
        <v>1574.422609973104</v>
      </c>
    </row>
    <row r="814" spans="1:8" x14ac:dyDescent="0.3">
      <c r="A814" s="7">
        <v>811</v>
      </c>
      <c r="B814" s="7">
        <v>786.18075832993804</v>
      </c>
      <c r="C814" s="7">
        <v>492.64715841097637</v>
      </c>
      <c r="D814" s="7">
        <v>131</v>
      </c>
      <c r="E814" s="7">
        <v>146</v>
      </c>
      <c r="F814" s="7">
        <v>3959.5342960288808</v>
      </c>
      <c r="G814" s="7">
        <v>1150.759885022544</v>
      </c>
      <c r="H814" s="7">
        <v>903.80289780581677</v>
      </c>
    </row>
    <row r="815" spans="1:8" x14ac:dyDescent="0.3">
      <c r="A815" s="7">
        <v>812</v>
      </c>
      <c r="B815" s="7">
        <v>871.16042973811523</v>
      </c>
      <c r="C815" s="7">
        <v>628.15435206695861</v>
      </c>
      <c r="D815" s="7">
        <v>131</v>
      </c>
      <c r="E815" s="7">
        <v>146</v>
      </c>
      <c r="F815" s="7">
        <v>6372.6389891696754</v>
      </c>
      <c r="G815" s="7">
        <v>2035.411054383203</v>
      </c>
      <c r="H815" s="7">
        <v>1794.6171244272889</v>
      </c>
    </row>
    <row r="816" spans="1:8" x14ac:dyDescent="0.3">
      <c r="A816" s="7">
        <v>813</v>
      </c>
      <c r="B816" s="7">
        <v>852.54232918079697</v>
      </c>
      <c r="C816" s="7">
        <v>616.28686840996465</v>
      </c>
      <c r="D816" s="7">
        <v>128</v>
      </c>
      <c r="E816" s="7">
        <v>146</v>
      </c>
      <c r="F816" s="7">
        <v>5940.945255474453</v>
      </c>
      <c r="G816" s="7">
        <v>1405.678197637176</v>
      </c>
      <c r="H816" s="7">
        <v>1193.328805060157</v>
      </c>
    </row>
    <row r="817" spans="1:8" x14ac:dyDescent="0.3">
      <c r="A817" s="7">
        <v>814</v>
      </c>
      <c r="B817" s="7">
        <v>1314.4789458477201</v>
      </c>
      <c r="C817" s="7">
        <v>853.80139857411746</v>
      </c>
      <c r="D817" s="7">
        <v>131</v>
      </c>
      <c r="E817" s="7">
        <v>146</v>
      </c>
      <c r="F817" s="7">
        <v>8450.830324909748</v>
      </c>
      <c r="G817" s="7">
        <v>3079.1172944493519</v>
      </c>
      <c r="H817" s="7">
        <v>2800.4352462596148</v>
      </c>
    </row>
    <row r="818" spans="1:8" x14ac:dyDescent="0.3">
      <c r="A818" s="7">
        <v>815</v>
      </c>
      <c r="B818" s="7">
        <v>1753.062177308911</v>
      </c>
      <c r="C818" s="7">
        <v>816.31257387044923</v>
      </c>
      <c r="D818" s="7">
        <v>128</v>
      </c>
      <c r="E818" s="7">
        <v>146</v>
      </c>
      <c r="F818" s="7">
        <v>6334.8795620437959</v>
      </c>
      <c r="G818" s="7">
        <v>1624.4026426081989</v>
      </c>
      <c r="H818" s="7">
        <v>1596.569352903324</v>
      </c>
    </row>
    <row r="819" spans="1:8" x14ac:dyDescent="0.3">
      <c r="A819" s="7">
        <v>816</v>
      </c>
      <c r="B819" s="7">
        <v>826.71841435247404</v>
      </c>
      <c r="C819" s="7">
        <v>556.92322073116566</v>
      </c>
      <c r="D819" s="7">
        <v>129</v>
      </c>
      <c r="E819" s="7">
        <v>146</v>
      </c>
      <c r="F819" s="7">
        <v>4989.7236363636366</v>
      </c>
      <c r="G819" s="7">
        <v>1457.672483710742</v>
      </c>
      <c r="H819" s="7">
        <v>1251.574162229967</v>
      </c>
    </row>
    <row r="820" spans="1:8" x14ac:dyDescent="0.3">
      <c r="A820" s="7">
        <v>817</v>
      </c>
      <c r="B820" s="7">
        <v>1869.185820496022</v>
      </c>
      <c r="C820" s="7">
        <v>1365.186801504409</v>
      </c>
      <c r="D820" s="7">
        <v>131</v>
      </c>
      <c r="E820" s="7">
        <v>146</v>
      </c>
      <c r="F820" s="7">
        <v>20031.85198555957</v>
      </c>
      <c r="G820" s="7">
        <v>4131.5053759804941</v>
      </c>
      <c r="H820" s="7">
        <v>3061.8585411523168</v>
      </c>
    </row>
    <row r="821" spans="1:8" x14ac:dyDescent="0.3">
      <c r="A821" s="7">
        <v>818</v>
      </c>
      <c r="B821" s="7">
        <v>870.49199654040956</v>
      </c>
      <c r="C821" s="7">
        <v>514.41426146090953</v>
      </c>
      <c r="D821" s="7">
        <v>129</v>
      </c>
      <c r="E821" s="7">
        <v>146</v>
      </c>
      <c r="F821" s="7">
        <v>6649.596363636364</v>
      </c>
      <c r="G821" s="7">
        <v>2529.7594747327271</v>
      </c>
      <c r="H821" s="7">
        <v>2193.3047592898001</v>
      </c>
    </row>
    <row r="822" spans="1:8" x14ac:dyDescent="0.3">
      <c r="A822" s="7">
        <v>819</v>
      </c>
      <c r="B822" s="7">
        <v>752.79646236427095</v>
      </c>
      <c r="C822" s="7">
        <v>462.72014019478121</v>
      </c>
      <c r="D822" s="7">
        <v>131</v>
      </c>
      <c r="E822" s="7">
        <v>146</v>
      </c>
      <c r="F822" s="7">
        <v>5908.7292418772568</v>
      </c>
      <c r="G822" s="7">
        <v>1559.441096787931</v>
      </c>
      <c r="H822" s="7">
        <v>1362.9406940936351</v>
      </c>
    </row>
    <row r="823" spans="1:8" x14ac:dyDescent="0.3">
      <c r="A823" s="7">
        <v>820</v>
      </c>
      <c r="B823" s="7">
        <v>1630.560244345216</v>
      </c>
      <c r="C823" s="7">
        <v>1009.5805992701351</v>
      </c>
      <c r="D823" s="7">
        <v>128</v>
      </c>
      <c r="E823" s="7">
        <v>146</v>
      </c>
      <c r="F823" s="7">
        <v>11739.5</v>
      </c>
      <c r="G823" s="7">
        <v>2735.5306486470772</v>
      </c>
      <c r="H823" s="7">
        <v>2541.2426350384148</v>
      </c>
    </row>
    <row r="824" spans="1:8" x14ac:dyDescent="0.3">
      <c r="A824" s="7">
        <v>821</v>
      </c>
      <c r="B824" s="7">
        <v>1075.4948956481519</v>
      </c>
      <c r="C824" s="7">
        <v>671.19725176160523</v>
      </c>
      <c r="D824" s="7">
        <v>131</v>
      </c>
      <c r="E824" s="7">
        <v>146</v>
      </c>
      <c r="F824" s="7">
        <v>7072.1805054151628</v>
      </c>
      <c r="G824" s="7">
        <v>2234.319268909403</v>
      </c>
      <c r="H824" s="7">
        <v>1855.0901964557679</v>
      </c>
    </row>
    <row r="825" spans="1:8" x14ac:dyDescent="0.3">
      <c r="A825" s="7">
        <v>822</v>
      </c>
      <c r="B825" s="7">
        <v>1293.2340478474489</v>
      </c>
      <c r="C825" s="7">
        <v>853.69970148503944</v>
      </c>
      <c r="D825" s="7">
        <v>131</v>
      </c>
      <c r="E825" s="7">
        <v>146</v>
      </c>
      <c r="F825" s="7">
        <v>7404.0072202166066</v>
      </c>
      <c r="G825" s="7">
        <v>2875.749155630037</v>
      </c>
      <c r="H825" s="7">
        <v>2578.5939807981049</v>
      </c>
    </row>
    <row r="826" spans="1:8" x14ac:dyDescent="0.3">
      <c r="A826" s="7">
        <v>823</v>
      </c>
      <c r="B826" s="7">
        <v>976.55822999424538</v>
      </c>
      <c r="C826" s="7">
        <v>522.08842564528788</v>
      </c>
      <c r="D826" s="7">
        <v>131</v>
      </c>
      <c r="E826" s="7">
        <v>146</v>
      </c>
      <c r="F826" s="7">
        <v>6046.5992779783392</v>
      </c>
      <c r="G826" s="7">
        <v>1911.6470836739411</v>
      </c>
      <c r="H826" s="7">
        <v>1631.911432847241</v>
      </c>
    </row>
    <row r="827" spans="1:8" x14ac:dyDescent="0.3">
      <c r="A827" s="7">
        <v>824</v>
      </c>
      <c r="B827" s="7">
        <v>1252.118844092488</v>
      </c>
      <c r="C827" s="7">
        <v>717.95212445027994</v>
      </c>
      <c r="D827" s="7">
        <v>131</v>
      </c>
      <c r="E827" s="7">
        <v>146</v>
      </c>
      <c r="F827" s="7">
        <v>7168.5126353790611</v>
      </c>
      <c r="G827" s="7">
        <v>2287.189957297679</v>
      </c>
      <c r="H827" s="7">
        <v>1868.0515854834939</v>
      </c>
    </row>
    <row r="828" spans="1:8" x14ac:dyDescent="0.3">
      <c r="A828" s="7">
        <v>825</v>
      </c>
      <c r="B828" s="7">
        <v>2028.5462035735609</v>
      </c>
      <c r="C828" s="7">
        <v>756.46438825644032</v>
      </c>
      <c r="D828" s="7">
        <v>128</v>
      </c>
      <c r="E828" s="7">
        <v>146</v>
      </c>
      <c r="F828" s="7">
        <v>5062.729927007299</v>
      </c>
      <c r="G828" s="7">
        <v>1275.607248161635</v>
      </c>
      <c r="H828" s="7">
        <v>1209.6347971457139</v>
      </c>
    </row>
    <row r="829" spans="1:8" x14ac:dyDescent="0.3">
      <c r="A829" s="7">
        <v>826</v>
      </c>
      <c r="B829" s="7">
        <v>987.69524931645435</v>
      </c>
      <c r="C829" s="7">
        <v>831.71246551150875</v>
      </c>
      <c r="D829" s="7">
        <v>127</v>
      </c>
      <c r="E829" s="7">
        <v>146</v>
      </c>
      <c r="F829" s="7">
        <v>9123.2564102564102</v>
      </c>
      <c r="G829" s="7">
        <v>2445.016340540858</v>
      </c>
      <c r="H829" s="7">
        <v>2100.3677727536001</v>
      </c>
    </row>
    <row r="830" spans="1:8" x14ac:dyDescent="0.3">
      <c r="A830" s="7">
        <v>827</v>
      </c>
      <c r="B830" s="7">
        <v>2190.749989275288</v>
      </c>
      <c r="C830" s="7">
        <v>2183.1789179713751</v>
      </c>
      <c r="D830" s="7">
        <v>131</v>
      </c>
      <c r="E830" s="7">
        <v>146</v>
      </c>
      <c r="F830" s="7">
        <v>13915.086642599281</v>
      </c>
      <c r="G830" s="7">
        <v>3090.4941241325332</v>
      </c>
      <c r="H830" s="7">
        <v>3051.4462807183072</v>
      </c>
    </row>
    <row r="831" spans="1:8" x14ac:dyDescent="0.3">
      <c r="A831" s="7">
        <v>828</v>
      </c>
      <c r="B831" s="7">
        <v>726.56022283563459</v>
      </c>
      <c r="C831" s="7">
        <v>581.54788494609306</v>
      </c>
      <c r="D831" s="7">
        <v>130</v>
      </c>
      <c r="E831" s="7">
        <v>146</v>
      </c>
      <c r="F831" s="7">
        <v>5364.036231884058</v>
      </c>
      <c r="G831" s="7">
        <v>2033.437553655235</v>
      </c>
      <c r="H831" s="7">
        <v>1756.819343438435</v>
      </c>
    </row>
    <row r="832" spans="1:8" x14ac:dyDescent="0.3">
      <c r="A832" s="7">
        <v>829</v>
      </c>
      <c r="B832" s="7">
        <v>825.99292307274789</v>
      </c>
      <c r="C832" s="7">
        <v>595.62926814919751</v>
      </c>
      <c r="D832" s="7">
        <v>129</v>
      </c>
      <c r="E832" s="7">
        <v>146</v>
      </c>
      <c r="F832" s="7">
        <v>5837.4872727272723</v>
      </c>
      <c r="G832" s="7">
        <v>1915.39730531535</v>
      </c>
      <c r="H832" s="7">
        <v>1789.691513174482</v>
      </c>
    </row>
    <row r="833" spans="1:8" x14ac:dyDescent="0.3">
      <c r="A833" s="7">
        <v>830</v>
      </c>
      <c r="B833" s="7">
        <v>944.09395644779966</v>
      </c>
      <c r="C833" s="7">
        <v>628.65746945293142</v>
      </c>
      <c r="D833" s="7">
        <v>131</v>
      </c>
      <c r="E833" s="7">
        <v>146</v>
      </c>
      <c r="F833" s="7">
        <v>6416.6245487364622</v>
      </c>
      <c r="G833" s="7">
        <v>2199.941562374464</v>
      </c>
      <c r="H833" s="7">
        <v>1959.848133269375</v>
      </c>
    </row>
    <row r="834" spans="1:8" x14ac:dyDescent="0.3">
      <c r="A834" s="7">
        <v>831</v>
      </c>
      <c r="B834" s="7">
        <v>2375.3305753330578</v>
      </c>
      <c r="C834" s="7">
        <v>824.6755563632363</v>
      </c>
      <c r="D834" s="7">
        <v>129</v>
      </c>
      <c r="E834" s="7">
        <v>146</v>
      </c>
      <c r="F834" s="7">
        <v>12975.09090909091</v>
      </c>
      <c r="G834" s="7">
        <v>4662.4257751225523</v>
      </c>
      <c r="H834" s="7">
        <v>3724.7482750286322</v>
      </c>
    </row>
    <row r="835" spans="1:8" x14ac:dyDescent="0.3">
      <c r="A835" s="7">
        <v>832</v>
      </c>
      <c r="B835" s="7">
        <v>917.59424966011306</v>
      </c>
      <c r="C835" s="7">
        <v>595.39723597118905</v>
      </c>
      <c r="D835" s="7">
        <v>129</v>
      </c>
      <c r="E835" s="7">
        <v>146</v>
      </c>
      <c r="F835" s="7">
        <v>6654.869090909091</v>
      </c>
      <c r="G835" s="7">
        <v>2281.1333865277979</v>
      </c>
      <c r="H835" s="7">
        <v>1896.7154775399831</v>
      </c>
    </row>
    <row r="836" spans="1:8" x14ac:dyDescent="0.3">
      <c r="A836" s="7">
        <v>833</v>
      </c>
      <c r="B836" s="7">
        <v>857.34335425020925</v>
      </c>
      <c r="C836" s="7">
        <v>560.44556702078069</v>
      </c>
      <c r="D836" s="7">
        <v>129</v>
      </c>
      <c r="E836" s="7">
        <v>146</v>
      </c>
      <c r="F836" s="7">
        <v>5507.1709090909089</v>
      </c>
      <c r="G836" s="7">
        <v>1944.813129461834</v>
      </c>
      <c r="H836" s="7">
        <v>1649.7567255279359</v>
      </c>
    </row>
    <row r="837" spans="1:8" x14ac:dyDescent="0.3">
      <c r="A837" s="7">
        <v>834</v>
      </c>
      <c r="B837" s="7">
        <v>796.21580477798955</v>
      </c>
      <c r="C837" s="7">
        <v>508.53101700171368</v>
      </c>
      <c r="D837" s="7">
        <v>131</v>
      </c>
      <c r="E837" s="7">
        <v>146</v>
      </c>
      <c r="F837" s="7">
        <v>5969.8267148014438</v>
      </c>
      <c r="G837" s="7">
        <v>1677.894361558444</v>
      </c>
      <c r="H837" s="7">
        <v>1445.229474123993</v>
      </c>
    </row>
    <row r="838" spans="1:8" x14ac:dyDescent="0.3">
      <c r="A838" s="7">
        <v>835</v>
      </c>
      <c r="B838" s="7">
        <v>810.74585524053953</v>
      </c>
      <c r="C838" s="7">
        <v>540.7486438118774</v>
      </c>
      <c r="D838" s="7">
        <v>129</v>
      </c>
      <c r="E838" s="7">
        <v>146</v>
      </c>
      <c r="F838" s="7">
        <v>5618.5490909090913</v>
      </c>
      <c r="G838" s="7">
        <v>1914.757326700968</v>
      </c>
      <c r="H838" s="7">
        <v>1632.971002351404</v>
      </c>
    </row>
    <row r="839" spans="1:8" x14ac:dyDescent="0.3">
      <c r="A839" s="7">
        <v>836</v>
      </c>
      <c r="B839" s="7">
        <v>814.01543337972964</v>
      </c>
      <c r="C839" s="7">
        <v>584.13933290687669</v>
      </c>
      <c r="D839" s="7">
        <v>131</v>
      </c>
      <c r="E839" s="7">
        <v>146</v>
      </c>
      <c r="F839" s="7">
        <v>6129.8953068592054</v>
      </c>
      <c r="G839" s="7">
        <v>1926.1076024415679</v>
      </c>
      <c r="H839" s="7">
        <v>1724.4686892704001</v>
      </c>
    </row>
    <row r="840" spans="1:8" x14ac:dyDescent="0.3">
      <c r="A840" s="7">
        <v>837</v>
      </c>
      <c r="B840" s="7">
        <v>520.45009117656207</v>
      </c>
      <c r="C840" s="7">
        <v>409.2055962786161</v>
      </c>
      <c r="D840" s="7">
        <v>129</v>
      </c>
      <c r="E840" s="7">
        <v>146</v>
      </c>
      <c r="F840" s="7">
        <v>4143.7672727272729</v>
      </c>
      <c r="G840" s="7">
        <v>1235.1640602826631</v>
      </c>
      <c r="H840" s="7">
        <v>1092.785848626758</v>
      </c>
    </row>
    <row r="841" spans="1:8" x14ac:dyDescent="0.3">
      <c r="A841" s="7">
        <v>838</v>
      </c>
      <c r="B841" s="7">
        <v>932.05446647150302</v>
      </c>
      <c r="C841" s="7">
        <v>795.6317755523994</v>
      </c>
      <c r="D841" s="7">
        <v>131</v>
      </c>
      <c r="E841" s="7">
        <v>146</v>
      </c>
      <c r="F841" s="7">
        <v>8786.9530685920581</v>
      </c>
      <c r="G841" s="7">
        <v>2444.2046209365599</v>
      </c>
      <c r="H841" s="7">
        <v>2197.6874286955772</v>
      </c>
    </row>
    <row r="842" spans="1:8" x14ac:dyDescent="0.3">
      <c r="A842" s="7">
        <v>839</v>
      </c>
      <c r="B842" s="7">
        <v>881.62023481575079</v>
      </c>
      <c r="C842" s="7">
        <v>444.24189090457628</v>
      </c>
      <c r="D842" s="7">
        <v>131</v>
      </c>
      <c r="E842" s="7">
        <v>146</v>
      </c>
      <c r="F842" s="7">
        <v>4138.6642599277984</v>
      </c>
      <c r="G842" s="7">
        <v>1413.0063478029031</v>
      </c>
      <c r="H842" s="7">
        <v>1379.4521892641851</v>
      </c>
    </row>
    <row r="843" spans="1:8" x14ac:dyDescent="0.3">
      <c r="A843" s="7">
        <v>840</v>
      </c>
      <c r="B843" s="7">
        <v>1007.293669817738</v>
      </c>
      <c r="C843" s="7">
        <v>741.4680570441011</v>
      </c>
      <c r="D843" s="7">
        <v>131</v>
      </c>
      <c r="E843" s="7">
        <v>146</v>
      </c>
      <c r="F843" s="7">
        <v>7161.2851985559564</v>
      </c>
      <c r="G843" s="7">
        <v>1665.682639787228</v>
      </c>
      <c r="H843" s="7">
        <v>1404.1221725129431</v>
      </c>
    </row>
    <row r="844" spans="1:8" x14ac:dyDescent="0.3">
      <c r="A844" s="7">
        <v>841</v>
      </c>
      <c r="B844" s="7">
        <v>625.44659164389532</v>
      </c>
      <c r="C844" s="7">
        <v>311.64073961021478</v>
      </c>
      <c r="D844" s="7">
        <v>131</v>
      </c>
      <c r="E844" s="7">
        <v>146</v>
      </c>
      <c r="F844" s="7">
        <v>2757.8014440433212</v>
      </c>
      <c r="G844" s="7">
        <v>1056.215782227265</v>
      </c>
      <c r="H844" s="7">
        <v>925.97683704276642</v>
      </c>
    </row>
    <row r="845" spans="1:8" x14ac:dyDescent="0.3">
      <c r="A845" s="7">
        <v>842</v>
      </c>
      <c r="B845" s="7">
        <v>3155.9557886924331</v>
      </c>
      <c r="C845" s="7">
        <v>2665.7558602697559</v>
      </c>
      <c r="D845" s="7">
        <v>128</v>
      </c>
      <c r="E845" s="7">
        <v>146</v>
      </c>
      <c r="F845" s="7">
        <v>19775.886861313869</v>
      </c>
      <c r="G845" s="7">
        <v>4890.4010627644338</v>
      </c>
      <c r="H845" s="7">
        <v>4861.3204270568867</v>
      </c>
    </row>
    <row r="846" spans="1:8" x14ac:dyDescent="0.3">
      <c r="A846" s="7">
        <v>843</v>
      </c>
      <c r="B846" s="7">
        <v>1478.6791954750331</v>
      </c>
      <c r="C846" s="7">
        <v>814.49091791129786</v>
      </c>
      <c r="D846" s="7">
        <v>131</v>
      </c>
      <c r="E846" s="7">
        <v>146</v>
      </c>
      <c r="F846" s="7">
        <v>8886.1913357400717</v>
      </c>
      <c r="G846" s="7">
        <v>3163.026340956993</v>
      </c>
      <c r="H846" s="7">
        <v>2520.6659005492538</v>
      </c>
    </row>
    <row r="847" spans="1:8" x14ac:dyDescent="0.3">
      <c r="A847" s="7">
        <v>844</v>
      </c>
      <c r="B847" s="7">
        <v>719.08277809696028</v>
      </c>
      <c r="C847" s="7">
        <v>370.98228837260302</v>
      </c>
      <c r="D847" s="7">
        <v>129</v>
      </c>
      <c r="E847" s="7">
        <v>146</v>
      </c>
      <c r="F847" s="7">
        <v>4171.8509090909092</v>
      </c>
      <c r="G847" s="7">
        <v>1618.027622630992</v>
      </c>
      <c r="H847" s="7">
        <v>1340.1354945809089</v>
      </c>
    </row>
    <row r="848" spans="1:8" x14ac:dyDescent="0.3">
      <c r="A848" s="7">
        <v>845</v>
      </c>
      <c r="B848" s="7">
        <v>773.93415027996343</v>
      </c>
      <c r="C848" s="7">
        <v>508.76430619252977</v>
      </c>
      <c r="D848" s="7">
        <v>127</v>
      </c>
      <c r="E848" s="7">
        <v>146</v>
      </c>
      <c r="F848" s="7">
        <v>4905.333333333333</v>
      </c>
      <c r="G848" s="7">
        <v>1324.270255144854</v>
      </c>
      <c r="H848" s="7">
        <v>1158.0170640141471</v>
      </c>
    </row>
    <row r="849" spans="1:8" x14ac:dyDescent="0.3">
      <c r="A849" s="7">
        <v>846</v>
      </c>
      <c r="B849" s="7">
        <v>1006.13617151449</v>
      </c>
      <c r="C849" s="7">
        <v>658.61201902452706</v>
      </c>
      <c r="D849" s="7">
        <v>129</v>
      </c>
      <c r="E849" s="7">
        <v>146</v>
      </c>
      <c r="F849" s="7">
        <v>9285.8254545454547</v>
      </c>
      <c r="G849" s="7">
        <v>3361.5767548978811</v>
      </c>
      <c r="H849" s="7">
        <v>2988.068233344628</v>
      </c>
    </row>
    <row r="850" spans="1:8" x14ac:dyDescent="0.3">
      <c r="A850" s="7">
        <v>847</v>
      </c>
      <c r="B850" s="7">
        <v>1125.947291154723</v>
      </c>
      <c r="C850" s="7">
        <v>634.801705729133</v>
      </c>
      <c r="D850" s="7">
        <v>127</v>
      </c>
      <c r="E850" s="7">
        <v>146</v>
      </c>
      <c r="F850" s="7">
        <v>6864.0622710622711</v>
      </c>
      <c r="G850" s="7">
        <v>2363.3740994303612</v>
      </c>
      <c r="H850" s="7">
        <v>1912.8502759186861</v>
      </c>
    </row>
    <row r="851" spans="1:8" x14ac:dyDescent="0.3">
      <c r="A851" s="7">
        <v>848</v>
      </c>
      <c r="B851" s="7">
        <v>845.35391342904325</v>
      </c>
      <c r="C851" s="7">
        <v>545.7625157690087</v>
      </c>
      <c r="D851" s="7">
        <v>128</v>
      </c>
      <c r="E851" s="7">
        <v>146</v>
      </c>
      <c r="F851" s="7">
        <v>6872.4233576642337</v>
      </c>
      <c r="G851" s="7">
        <v>2011.669512261519</v>
      </c>
      <c r="H851" s="7">
        <v>1890.9898545833039</v>
      </c>
    </row>
    <row r="852" spans="1:8" x14ac:dyDescent="0.3">
      <c r="A852" s="7">
        <v>849</v>
      </c>
      <c r="B852" s="7">
        <v>1027.682295624167</v>
      </c>
      <c r="C852" s="7">
        <v>707.63584619139067</v>
      </c>
      <c r="D852" s="7">
        <v>131</v>
      </c>
      <c r="E852" s="7">
        <v>146</v>
      </c>
      <c r="F852" s="7">
        <v>8424.5270758122751</v>
      </c>
      <c r="G852" s="7">
        <v>2417.8485310465521</v>
      </c>
      <c r="H852" s="7">
        <v>2121.564815678109</v>
      </c>
    </row>
    <row r="853" spans="1:8" x14ac:dyDescent="0.3">
      <c r="A853" s="7">
        <v>850</v>
      </c>
      <c r="B853" s="7">
        <v>873.76595023148923</v>
      </c>
      <c r="C853" s="7">
        <v>480.73527243398081</v>
      </c>
      <c r="D853" s="7">
        <v>129</v>
      </c>
      <c r="E853" s="7">
        <v>146</v>
      </c>
      <c r="F853" s="7">
        <v>6438.443636363636</v>
      </c>
      <c r="G853" s="7">
        <v>2446.6103049926292</v>
      </c>
      <c r="H853" s="7">
        <v>2216.633872796182</v>
      </c>
    </row>
    <row r="854" spans="1:8" x14ac:dyDescent="0.3">
      <c r="A854" s="7">
        <v>851</v>
      </c>
      <c r="B854" s="7">
        <v>2509.823400562148</v>
      </c>
      <c r="C854" s="7">
        <v>957.26800168339173</v>
      </c>
      <c r="D854" s="7">
        <v>128</v>
      </c>
      <c r="E854" s="7">
        <v>146</v>
      </c>
      <c r="F854" s="7">
        <v>5303.5036496350367</v>
      </c>
      <c r="G854" s="7">
        <v>1645.896737439047</v>
      </c>
      <c r="H854" s="7">
        <v>1456.1948349243221</v>
      </c>
    </row>
    <row r="855" spans="1:8" x14ac:dyDescent="0.3">
      <c r="A855" s="7">
        <v>852</v>
      </c>
      <c r="B855" s="7">
        <v>753.55191130308208</v>
      </c>
      <c r="C855" s="7">
        <v>466.10759775335652</v>
      </c>
      <c r="D855" s="7">
        <v>129</v>
      </c>
      <c r="E855" s="7">
        <v>146</v>
      </c>
      <c r="F855" s="7">
        <v>4501.0872727272726</v>
      </c>
      <c r="G855" s="7">
        <v>1599.899306424524</v>
      </c>
      <c r="H855" s="7">
        <v>1344.5257477271939</v>
      </c>
    </row>
    <row r="856" spans="1:8" x14ac:dyDescent="0.3">
      <c r="A856" s="7">
        <v>853</v>
      </c>
      <c r="B856" s="7">
        <v>1254.0638468937459</v>
      </c>
      <c r="C856" s="7">
        <v>651.13290797949605</v>
      </c>
      <c r="D856" s="7">
        <v>128</v>
      </c>
      <c r="E856" s="7">
        <v>146</v>
      </c>
      <c r="F856" s="7">
        <v>9512.0291970802919</v>
      </c>
      <c r="G856" s="7">
        <v>2776.6914073902781</v>
      </c>
      <c r="H856" s="7">
        <v>2331.9393275549128</v>
      </c>
    </row>
    <row r="857" spans="1:8" x14ac:dyDescent="0.3">
      <c r="A857" s="7">
        <v>854</v>
      </c>
      <c r="B857" s="7">
        <v>1056.326223964546</v>
      </c>
      <c r="C857" s="7">
        <v>680.96712718311755</v>
      </c>
      <c r="D857" s="7">
        <v>131</v>
      </c>
      <c r="E857" s="7">
        <v>146</v>
      </c>
      <c r="F857" s="7">
        <v>6330.3429602888091</v>
      </c>
      <c r="G857" s="7">
        <v>2066.656676081901</v>
      </c>
      <c r="H857" s="7">
        <v>1845.8662980863371</v>
      </c>
    </row>
    <row r="858" spans="1:8" x14ac:dyDescent="0.3">
      <c r="A858" s="7">
        <v>855</v>
      </c>
      <c r="B858" s="7">
        <v>991.50844628413097</v>
      </c>
      <c r="C858" s="7">
        <v>445.43512561587602</v>
      </c>
      <c r="D858" s="7">
        <v>128</v>
      </c>
      <c r="E858" s="7">
        <v>146</v>
      </c>
      <c r="F858" s="7">
        <v>6025.2372262773724</v>
      </c>
      <c r="G858" s="7">
        <v>2241.1731965368049</v>
      </c>
      <c r="H858" s="7">
        <v>1735.0916994439949</v>
      </c>
    </row>
    <row r="859" spans="1:8" x14ac:dyDescent="0.3">
      <c r="A859" s="7">
        <v>856</v>
      </c>
      <c r="B859" s="7">
        <v>959.30042421658197</v>
      </c>
      <c r="C859" s="7">
        <v>573.23940840959949</v>
      </c>
      <c r="D859" s="7">
        <v>131</v>
      </c>
      <c r="E859" s="7">
        <v>146</v>
      </c>
      <c r="F859" s="7">
        <v>7172.8086642599274</v>
      </c>
      <c r="G859" s="7">
        <v>2103.7969182605161</v>
      </c>
      <c r="H859" s="7">
        <v>1798.2658027278039</v>
      </c>
    </row>
    <row r="860" spans="1:8" x14ac:dyDescent="0.3">
      <c r="A860" s="7">
        <v>857</v>
      </c>
      <c r="B860" s="7">
        <v>1306.177083279822</v>
      </c>
      <c r="C860" s="7">
        <v>798.20346773996209</v>
      </c>
      <c r="D860" s="7">
        <v>129</v>
      </c>
      <c r="E860" s="7">
        <v>146</v>
      </c>
      <c r="F860" s="7">
        <v>8107.8436363636374</v>
      </c>
      <c r="G860" s="7">
        <v>2430.7421044394191</v>
      </c>
      <c r="H860" s="7">
        <v>2114.796866763149</v>
      </c>
    </row>
    <row r="861" spans="1:8" x14ac:dyDescent="0.3">
      <c r="A861" s="7">
        <v>858</v>
      </c>
      <c r="B861" s="7">
        <v>2182.5239772011619</v>
      </c>
      <c r="C861" s="7">
        <v>992.10082979624417</v>
      </c>
      <c r="D861" s="7">
        <v>128</v>
      </c>
      <c r="E861" s="7">
        <v>146</v>
      </c>
      <c r="F861" s="7">
        <v>4979.5291970802919</v>
      </c>
      <c r="G861" s="7">
        <v>982.48485993423833</v>
      </c>
      <c r="H861" s="7">
        <v>990.02172731104497</v>
      </c>
    </row>
    <row r="862" spans="1:8" x14ac:dyDescent="0.3">
      <c r="A862" s="7">
        <v>859</v>
      </c>
      <c r="B862" s="7">
        <v>1507.528302580555</v>
      </c>
      <c r="C862" s="7">
        <v>790.46570801173789</v>
      </c>
      <c r="D862" s="7">
        <v>128</v>
      </c>
      <c r="E862" s="7">
        <v>146</v>
      </c>
      <c r="F862" s="7">
        <v>7857.9087591240877</v>
      </c>
      <c r="G862" s="7">
        <v>1812.499760775846</v>
      </c>
      <c r="H862" s="7">
        <v>1648.5500000727079</v>
      </c>
    </row>
    <row r="863" spans="1:8" x14ac:dyDescent="0.3">
      <c r="A863" s="7">
        <v>860</v>
      </c>
      <c r="B863" s="7">
        <v>1067.2700415602931</v>
      </c>
      <c r="C863" s="7">
        <v>647.11586724765925</v>
      </c>
      <c r="D863" s="7">
        <v>127</v>
      </c>
      <c r="E863" s="7">
        <v>146</v>
      </c>
      <c r="F863" s="7">
        <v>6373.7619047619046</v>
      </c>
      <c r="G863" s="7">
        <v>2178.4287229072711</v>
      </c>
      <c r="H863" s="7">
        <v>1837.2025376597869</v>
      </c>
    </row>
    <row r="864" spans="1:8" x14ac:dyDescent="0.3">
      <c r="A864" s="7">
        <v>861</v>
      </c>
      <c r="B864" s="7">
        <v>594.47249653607821</v>
      </c>
      <c r="C864" s="7">
        <v>483.77966760788212</v>
      </c>
      <c r="D864" s="7">
        <v>127</v>
      </c>
      <c r="E864" s="7">
        <v>146</v>
      </c>
      <c r="F864" s="7">
        <v>3866.630036630037</v>
      </c>
      <c r="G864" s="7">
        <v>1145.970327768561</v>
      </c>
      <c r="H864" s="7">
        <v>984.36743821840105</v>
      </c>
    </row>
    <row r="865" spans="1:8" x14ac:dyDescent="0.3">
      <c r="A865" s="7">
        <v>862</v>
      </c>
      <c r="B865" s="7">
        <v>1364.4458940215511</v>
      </c>
      <c r="C865" s="7">
        <v>939.76750026360776</v>
      </c>
      <c r="D865" s="7">
        <v>131</v>
      </c>
      <c r="E865" s="7">
        <v>146</v>
      </c>
      <c r="F865" s="7">
        <v>8143.4873646209389</v>
      </c>
      <c r="G865" s="7">
        <v>2417.2865710155702</v>
      </c>
      <c r="H865" s="7">
        <v>2048.430914707345</v>
      </c>
    </row>
    <row r="866" spans="1:8" x14ac:dyDescent="0.3">
      <c r="A866" s="7">
        <v>863</v>
      </c>
      <c r="B866" s="7">
        <v>1316.324835569686</v>
      </c>
      <c r="C866" s="7">
        <v>950.79077692864928</v>
      </c>
      <c r="D866" s="7">
        <v>131</v>
      </c>
      <c r="E866" s="7">
        <v>184</v>
      </c>
      <c r="F866" s="7">
        <v>7551.3015873015866</v>
      </c>
      <c r="G866" s="7">
        <v>2696.530200486804</v>
      </c>
      <c r="H866" s="7">
        <v>2528.2169767489768</v>
      </c>
    </row>
    <row r="867" spans="1:8" x14ac:dyDescent="0.3">
      <c r="A867" s="7">
        <v>864</v>
      </c>
      <c r="B867" s="7">
        <v>657.95005899709508</v>
      </c>
      <c r="C867" s="7">
        <v>451.6537622967943</v>
      </c>
      <c r="D867" s="7">
        <v>128</v>
      </c>
      <c r="E867" s="7">
        <v>146</v>
      </c>
      <c r="F867" s="7">
        <v>4352.5620437956204</v>
      </c>
      <c r="G867" s="7">
        <v>1236.8493112542039</v>
      </c>
      <c r="H867" s="7">
        <v>929.83532936000415</v>
      </c>
    </row>
    <row r="868" spans="1:8" x14ac:dyDescent="0.3">
      <c r="A868" s="7">
        <v>865</v>
      </c>
      <c r="B868" s="7">
        <v>1172.3834154791759</v>
      </c>
      <c r="C868" s="7">
        <v>816.61218179231537</v>
      </c>
      <c r="D868" s="7">
        <v>129</v>
      </c>
      <c r="E868" s="7">
        <v>146</v>
      </c>
      <c r="F868" s="7">
        <v>8275.3672727272733</v>
      </c>
      <c r="G868" s="7">
        <v>2338.3280086354421</v>
      </c>
      <c r="H868" s="7">
        <v>2076.6664920439398</v>
      </c>
    </row>
    <row r="869" spans="1:8" x14ac:dyDescent="0.3">
      <c r="A869" s="7">
        <v>866</v>
      </c>
      <c r="B869" s="7">
        <v>1118.643842448264</v>
      </c>
      <c r="C869" s="7">
        <v>675.98177918790213</v>
      </c>
      <c r="D869" s="7">
        <v>129</v>
      </c>
      <c r="E869" s="7">
        <v>146</v>
      </c>
      <c r="F869" s="7">
        <v>7172.2472727272734</v>
      </c>
      <c r="G869" s="7">
        <v>2644.0864030845792</v>
      </c>
      <c r="H869" s="7">
        <v>2125.7255409253721</v>
      </c>
    </row>
    <row r="870" spans="1:8" x14ac:dyDescent="0.3">
      <c r="A870" s="7">
        <v>867</v>
      </c>
      <c r="B870" s="7">
        <v>900.58275404786116</v>
      </c>
      <c r="C870" s="7">
        <v>654.36282537718364</v>
      </c>
      <c r="D870" s="7">
        <v>131</v>
      </c>
      <c r="E870" s="7">
        <v>181</v>
      </c>
      <c r="F870" s="7">
        <v>4316.7147435897432</v>
      </c>
      <c r="G870" s="7">
        <v>1587.5374227722291</v>
      </c>
      <c r="H870" s="7">
        <v>1498.408267801728</v>
      </c>
    </row>
    <row r="871" spans="1:8" x14ac:dyDescent="0.3">
      <c r="A871" s="7">
        <v>868</v>
      </c>
      <c r="B871" s="7">
        <v>1113.1281835610121</v>
      </c>
      <c r="C871" s="7">
        <v>877.46341185134202</v>
      </c>
      <c r="D871" s="7">
        <v>129</v>
      </c>
      <c r="E871" s="7">
        <v>146</v>
      </c>
      <c r="F871" s="7">
        <v>9817.8290909090902</v>
      </c>
      <c r="G871" s="7">
        <v>2737.6807448030008</v>
      </c>
      <c r="H871" s="7">
        <v>2488.2328369115562</v>
      </c>
    </row>
    <row r="872" spans="1:8" x14ac:dyDescent="0.3">
      <c r="A872" s="7">
        <v>869</v>
      </c>
      <c r="B872" s="7">
        <v>846.1882200268966</v>
      </c>
      <c r="C872" s="7">
        <v>608.08551713965574</v>
      </c>
      <c r="D872" s="7">
        <v>131</v>
      </c>
      <c r="E872" s="7">
        <v>146</v>
      </c>
      <c r="F872" s="7">
        <v>6062.0758122743682</v>
      </c>
      <c r="G872" s="7">
        <v>2342.2637920942479</v>
      </c>
      <c r="H872" s="7">
        <v>2186.773517721535</v>
      </c>
    </row>
    <row r="873" spans="1:8" x14ac:dyDescent="0.3">
      <c r="A873" s="7">
        <v>870</v>
      </c>
      <c r="B873" s="7">
        <v>870.29132953588316</v>
      </c>
      <c r="C873" s="7">
        <v>833.24526417738355</v>
      </c>
      <c r="D873" s="7">
        <v>131</v>
      </c>
      <c r="E873" s="7">
        <v>146</v>
      </c>
      <c r="F873" s="7">
        <v>6981.9530685920581</v>
      </c>
      <c r="G873" s="7">
        <v>1272.0963193884049</v>
      </c>
      <c r="H873" s="7">
        <v>1008.052693502037</v>
      </c>
    </row>
    <row r="874" spans="1:8" x14ac:dyDescent="0.3">
      <c r="A874" s="7">
        <v>871</v>
      </c>
      <c r="B874" s="7">
        <v>1171.0054293834571</v>
      </c>
      <c r="C874" s="7">
        <v>785.46994340708579</v>
      </c>
      <c r="D874" s="7">
        <v>129</v>
      </c>
      <c r="E874" s="7">
        <v>146</v>
      </c>
      <c r="F874" s="7">
        <v>6982.3272727272724</v>
      </c>
      <c r="G874" s="7">
        <v>2186.4605588013242</v>
      </c>
      <c r="H874" s="7">
        <v>1828.5821983614469</v>
      </c>
    </row>
    <row r="875" spans="1:8" x14ac:dyDescent="0.3">
      <c r="A875" s="7">
        <v>872</v>
      </c>
      <c r="B875" s="7">
        <v>1343.1098537791031</v>
      </c>
      <c r="C875" s="7">
        <v>747.33763048358094</v>
      </c>
      <c r="D875" s="7">
        <v>129</v>
      </c>
      <c r="E875" s="7">
        <v>146</v>
      </c>
      <c r="F875" s="7">
        <v>7729.3381818181824</v>
      </c>
      <c r="G875" s="7">
        <v>2546.0992036915532</v>
      </c>
      <c r="H875" s="7">
        <v>2093.714291455874</v>
      </c>
    </row>
    <row r="876" spans="1:8" x14ac:dyDescent="0.3">
      <c r="A876" s="7">
        <v>873</v>
      </c>
      <c r="B876" s="7">
        <v>598.87025956980403</v>
      </c>
      <c r="C876" s="7">
        <v>324.77164327449879</v>
      </c>
      <c r="D876" s="7">
        <v>131</v>
      </c>
      <c r="E876" s="7">
        <v>146</v>
      </c>
      <c r="F876" s="7">
        <v>3770</v>
      </c>
      <c r="G876" s="7">
        <v>920.98115205619058</v>
      </c>
      <c r="H876" s="7">
        <v>816.79025157533135</v>
      </c>
    </row>
    <row r="877" spans="1:8" x14ac:dyDescent="0.3">
      <c r="A877" s="7">
        <v>874</v>
      </c>
      <c r="B877" s="7">
        <v>688.86845479528176</v>
      </c>
      <c r="C877" s="7">
        <v>498.89687572079731</v>
      </c>
      <c r="D877" s="7">
        <v>131</v>
      </c>
      <c r="E877" s="7">
        <v>146</v>
      </c>
      <c r="F877" s="7">
        <v>4893.8483754512636</v>
      </c>
      <c r="G877" s="7">
        <v>1412.6453259023981</v>
      </c>
      <c r="H877" s="7">
        <v>1249.4389809523659</v>
      </c>
    </row>
    <row r="878" spans="1:8" x14ac:dyDescent="0.3">
      <c r="A878" s="7">
        <v>875</v>
      </c>
      <c r="B878" s="7">
        <v>888.38780254351002</v>
      </c>
      <c r="C878" s="7">
        <v>476.16197855955022</v>
      </c>
      <c r="D878" s="7">
        <v>129</v>
      </c>
      <c r="E878" s="7">
        <v>146</v>
      </c>
      <c r="F878" s="7">
        <v>4962.545454545455</v>
      </c>
      <c r="G878" s="7">
        <v>2051.440837954608</v>
      </c>
      <c r="H878" s="7">
        <v>1703.2771635557181</v>
      </c>
    </row>
    <row r="879" spans="1:8" x14ac:dyDescent="0.3">
      <c r="A879" s="7">
        <v>876</v>
      </c>
      <c r="B879" s="7">
        <v>1366.944920784051</v>
      </c>
      <c r="C879" s="7">
        <v>933.5904328003021</v>
      </c>
      <c r="D879" s="7">
        <v>130</v>
      </c>
      <c r="E879" s="7">
        <v>146</v>
      </c>
      <c r="F879" s="7">
        <v>9298.95652173913</v>
      </c>
      <c r="G879" s="7">
        <v>3826.1040226721088</v>
      </c>
      <c r="H879" s="7">
        <v>3244.1336475687422</v>
      </c>
    </row>
    <row r="880" spans="1:8" x14ac:dyDescent="0.3">
      <c r="A880" s="7">
        <v>877</v>
      </c>
      <c r="B880" s="7">
        <v>1154.6156348733221</v>
      </c>
      <c r="C880" s="7">
        <v>762.15883271906921</v>
      </c>
      <c r="D880" s="7">
        <v>131</v>
      </c>
      <c r="E880" s="7">
        <v>152</v>
      </c>
      <c r="F880" s="7">
        <v>6192.7208480565369</v>
      </c>
      <c r="G880" s="7">
        <v>1846.803324418702</v>
      </c>
      <c r="H880" s="7">
        <v>1582.259136072284</v>
      </c>
    </row>
    <row r="881" spans="1:8" x14ac:dyDescent="0.3">
      <c r="A881" s="7">
        <v>878</v>
      </c>
      <c r="B881" s="7">
        <v>1123.6777052417351</v>
      </c>
      <c r="C881" s="7">
        <v>773.45169375356932</v>
      </c>
      <c r="D881" s="7">
        <v>130</v>
      </c>
      <c r="E881" s="7">
        <v>146</v>
      </c>
      <c r="F881" s="7">
        <v>8546.427536231884</v>
      </c>
      <c r="G881" s="7">
        <v>3016.4241323384622</v>
      </c>
      <c r="H881" s="7">
        <v>2610.9752219408442</v>
      </c>
    </row>
    <row r="882" spans="1:8" x14ac:dyDescent="0.3">
      <c r="A882" s="7">
        <v>879</v>
      </c>
      <c r="B882" s="7">
        <v>2393.1084345052</v>
      </c>
      <c r="C882" s="7">
        <v>916.52295074264111</v>
      </c>
      <c r="D882" s="7">
        <v>128</v>
      </c>
      <c r="E882" s="7">
        <v>146</v>
      </c>
      <c r="F882" s="7">
        <v>3948.459854014598</v>
      </c>
      <c r="G882" s="7">
        <v>1345.6237081972431</v>
      </c>
      <c r="H882" s="7">
        <v>1246.914276255095</v>
      </c>
    </row>
    <row r="883" spans="1:8" x14ac:dyDescent="0.3">
      <c r="A883" s="7">
        <v>880</v>
      </c>
      <c r="B883" s="7">
        <v>912.04727058674018</v>
      </c>
      <c r="C883" s="7">
        <v>677.63111765279064</v>
      </c>
      <c r="D883" s="7">
        <v>128</v>
      </c>
      <c r="E883" s="7">
        <v>146</v>
      </c>
      <c r="F883" s="7">
        <v>7867.63503649635</v>
      </c>
      <c r="G883" s="7">
        <v>1858.479477624114</v>
      </c>
      <c r="H883" s="7">
        <v>1643.6972148928689</v>
      </c>
    </row>
    <row r="884" spans="1:8" x14ac:dyDescent="0.3">
      <c r="A884" s="7">
        <v>881</v>
      </c>
      <c r="B884" s="7">
        <v>950.05287539420794</v>
      </c>
      <c r="C884" s="7">
        <v>440.46047555859258</v>
      </c>
      <c r="D884" s="7">
        <v>129</v>
      </c>
      <c r="E884" s="7">
        <v>146</v>
      </c>
      <c r="F884" s="7">
        <v>4266.5418181818186</v>
      </c>
      <c r="G884" s="7">
        <v>1888.875103080868</v>
      </c>
      <c r="H884" s="7">
        <v>1540.159872060965</v>
      </c>
    </row>
    <row r="885" spans="1:8" x14ac:dyDescent="0.3">
      <c r="A885" s="7">
        <v>882</v>
      </c>
      <c r="B885" s="7">
        <v>893.21651388802695</v>
      </c>
      <c r="C885" s="7">
        <v>509.810472040153</v>
      </c>
      <c r="D885" s="7">
        <v>129</v>
      </c>
      <c r="E885" s="7">
        <v>146</v>
      </c>
      <c r="F885" s="7">
        <v>6376.8145454545456</v>
      </c>
      <c r="G885" s="7">
        <v>1593.5671554941659</v>
      </c>
      <c r="H885" s="7">
        <v>1284.7687121951631</v>
      </c>
    </row>
    <row r="886" spans="1:8" x14ac:dyDescent="0.3">
      <c r="A886" s="7">
        <v>883</v>
      </c>
      <c r="B886" s="7">
        <v>836.65794356749791</v>
      </c>
      <c r="C886" s="7">
        <v>533.13405378748234</v>
      </c>
      <c r="D886" s="7">
        <v>129</v>
      </c>
      <c r="E886" s="7">
        <v>146</v>
      </c>
      <c r="F886" s="7">
        <v>4830.4072727272724</v>
      </c>
      <c r="G886" s="7">
        <v>1374.5523894409521</v>
      </c>
      <c r="H886" s="7">
        <v>1105.9407388319769</v>
      </c>
    </row>
    <row r="887" spans="1:8" x14ac:dyDescent="0.3">
      <c r="A887" s="7">
        <v>884</v>
      </c>
      <c r="B887" s="7">
        <v>1960.0557117460451</v>
      </c>
      <c r="C887" s="7">
        <v>961.57151796671803</v>
      </c>
      <c r="D887" s="7">
        <v>128</v>
      </c>
      <c r="E887" s="7">
        <v>146</v>
      </c>
      <c r="F887" s="7">
        <v>6179.7262773722632</v>
      </c>
      <c r="G887" s="7">
        <v>2027.8166849625491</v>
      </c>
      <c r="H887" s="7">
        <v>1886.59063914937</v>
      </c>
    </row>
    <row r="888" spans="1:8" x14ac:dyDescent="0.3">
      <c r="A888" s="7">
        <v>885</v>
      </c>
      <c r="B888" s="7">
        <v>943.44928583089393</v>
      </c>
      <c r="C888" s="7">
        <v>725.18319457512735</v>
      </c>
      <c r="D888" s="7">
        <v>127</v>
      </c>
      <c r="E888" s="7">
        <v>146</v>
      </c>
      <c r="F888" s="7">
        <v>6405.868131868132</v>
      </c>
      <c r="G888" s="7">
        <v>1345.9367957923271</v>
      </c>
      <c r="H888" s="7">
        <v>1152.137144614303</v>
      </c>
    </row>
    <row r="889" spans="1:8" x14ac:dyDescent="0.3">
      <c r="A889" s="7">
        <v>886</v>
      </c>
      <c r="B889" s="7">
        <v>1220.7113069094769</v>
      </c>
      <c r="C889" s="7">
        <v>793.97239576247614</v>
      </c>
      <c r="D889" s="7">
        <v>129</v>
      </c>
      <c r="E889" s="7">
        <v>146</v>
      </c>
      <c r="F889" s="7">
        <v>6745.636363636364</v>
      </c>
      <c r="G889" s="7">
        <v>2271.6938784790918</v>
      </c>
      <c r="H889" s="7">
        <v>1843.926617266266</v>
      </c>
    </row>
    <row r="890" spans="1:8" x14ac:dyDescent="0.3">
      <c r="A890" s="7">
        <v>887</v>
      </c>
      <c r="B890" s="7">
        <v>968.50534942243371</v>
      </c>
      <c r="C890" s="7">
        <v>532.35006571406689</v>
      </c>
      <c r="D890" s="7">
        <v>129</v>
      </c>
      <c r="E890" s="7">
        <v>146</v>
      </c>
      <c r="F890" s="7">
        <v>6859.6218181818194</v>
      </c>
      <c r="G890" s="7">
        <v>2526.3183848033382</v>
      </c>
      <c r="H890" s="7">
        <v>2182.021859940975</v>
      </c>
    </row>
    <row r="891" spans="1:8" x14ac:dyDescent="0.3">
      <c r="A891" s="7">
        <v>888</v>
      </c>
      <c r="B891" s="7">
        <v>1178.3777410140699</v>
      </c>
      <c r="C891" s="7">
        <v>875.8983042546331</v>
      </c>
      <c r="D891" s="7">
        <v>131</v>
      </c>
      <c r="E891" s="7">
        <v>146</v>
      </c>
      <c r="F891" s="7">
        <v>8736.5667870036104</v>
      </c>
      <c r="G891" s="7">
        <v>2350.0613634996298</v>
      </c>
      <c r="H891" s="7">
        <v>2163.9568906652312</v>
      </c>
    </row>
    <row r="892" spans="1:8" x14ac:dyDescent="0.3">
      <c r="A892" s="7">
        <v>889</v>
      </c>
      <c r="B892" s="7">
        <v>646.22137320260344</v>
      </c>
      <c r="C892" s="7">
        <v>404.59325766918658</v>
      </c>
      <c r="D892" s="7">
        <v>130</v>
      </c>
      <c r="E892" s="7">
        <v>146</v>
      </c>
      <c r="F892" s="7">
        <v>4189.097826086957</v>
      </c>
      <c r="G892" s="7">
        <v>1544.498524540471</v>
      </c>
      <c r="H892" s="7">
        <v>1348.8894874358939</v>
      </c>
    </row>
    <row r="893" spans="1:8" x14ac:dyDescent="0.3">
      <c r="A893" s="7">
        <v>890</v>
      </c>
      <c r="B893" s="7">
        <v>1906.8343592534329</v>
      </c>
      <c r="C893" s="7">
        <v>803.23358835061708</v>
      </c>
      <c r="D893" s="7">
        <v>128</v>
      </c>
      <c r="E893" s="7">
        <v>146</v>
      </c>
      <c r="F893" s="7">
        <v>6191.3029197080295</v>
      </c>
      <c r="G893" s="7">
        <v>2456.8528379183599</v>
      </c>
      <c r="H893" s="7">
        <v>2194.847445318052</v>
      </c>
    </row>
    <row r="894" spans="1:8" x14ac:dyDescent="0.3">
      <c r="A894" s="7">
        <v>891</v>
      </c>
      <c r="B894" s="7">
        <v>1322.106552653169</v>
      </c>
      <c r="C894" s="7">
        <v>879.98181090577236</v>
      </c>
      <c r="D894" s="7">
        <v>127</v>
      </c>
      <c r="E894" s="7">
        <v>146</v>
      </c>
      <c r="F894" s="7">
        <v>7672.7802197802193</v>
      </c>
      <c r="G894" s="7">
        <v>2520.0260356735289</v>
      </c>
      <c r="H894" s="7">
        <v>2173.7857467107328</v>
      </c>
    </row>
    <row r="895" spans="1:8" x14ac:dyDescent="0.3">
      <c r="A895" s="7">
        <v>892</v>
      </c>
      <c r="B895" s="7">
        <v>1093.8544458140429</v>
      </c>
      <c r="C895" s="7">
        <v>656.07749089594381</v>
      </c>
      <c r="D895" s="7">
        <v>131</v>
      </c>
      <c r="E895" s="7">
        <v>146</v>
      </c>
      <c r="F895" s="7">
        <v>7490.4187725631773</v>
      </c>
      <c r="G895" s="7">
        <v>2647.0889080314059</v>
      </c>
      <c r="H895" s="7">
        <v>2393.4958499152749</v>
      </c>
    </row>
    <row r="896" spans="1:8" x14ac:dyDescent="0.3">
      <c r="A896" s="7">
        <v>893</v>
      </c>
      <c r="B896" s="7">
        <v>2113.9763560897059</v>
      </c>
      <c r="C896" s="7">
        <v>861.7893423656958</v>
      </c>
      <c r="D896" s="7">
        <v>128</v>
      </c>
      <c r="E896" s="7">
        <v>146</v>
      </c>
      <c r="F896" s="7">
        <v>6465.6970802919705</v>
      </c>
      <c r="G896" s="7">
        <v>1489.609300181595</v>
      </c>
      <c r="H896" s="7">
        <v>1421.9516686389891</v>
      </c>
    </row>
    <row r="897" spans="1:8" x14ac:dyDescent="0.3">
      <c r="A897" s="7">
        <v>894</v>
      </c>
      <c r="B897" s="7">
        <v>1069.318297993007</v>
      </c>
      <c r="C897" s="7">
        <v>662.65945338859194</v>
      </c>
      <c r="D897" s="7">
        <v>129</v>
      </c>
      <c r="E897" s="7">
        <v>146</v>
      </c>
      <c r="F897" s="7">
        <v>8489.0909090909099</v>
      </c>
      <c r="G897" s="7">
        <v>3331.8945328888449</v>
      </c>
      <c r="H897" s="7">
        <v>3018.3553332582001</v>
      </c>
    </row>
    <row r="898" spans="1:8" x14ac:dyDescent="0.3">
      <c r="A898" s="7">
        <v>895</v>
      </c>
      <c r="B898" s="7">
        <v>1033.530077632257</v>
      </c>
      <c r="C898" s="7">
        <v>668.14845299689023</v>
      </c>
      <c r="D898" s="7">
        <v>128</v>
      </c>
      <c r="E898" s="7">
        <v>146</v>
      </c>
      <c r="F898" s="7">
        <v>9838.3284671532838</v>
      </c>
      <c r="G898" s="7">
        <v>2269.4839980020788</v>
      </c>
      <c r="H898" s="7">
        <v>1975.0984976305519</v>
      </c>
    </row>
    <row r="899" spans="1:8" x14ac:dyDescent="0.3">
      <c r="A899" s="7">
        <v>896</v>
      </c>
      <c r="B899" s="7">
        <v>1334.8808220941321</v>
      </c>
      <c r="C899" s="7">
        <v>639.38306458320517</v>
      </c>
      <c r="D899" s="7">
        <v>131</v>
      </c>
      <c r="E899" s="7">
        <v>146</v>
      </c>
      <c r="F899" s="7">
        <v>6830.0397111913353</v>
      </c>
      <c r="G899" s="7">
        <v>1906.417180380216</v>
      </c>
      <c r="H899" s="7">
        <v>1455.025935371167</v>
      </c>
    </row>
    <row r="900" spans="1:8" x14ac:dyDescent="0.3">
      <c r="A900" s="7">
        <v>897</v>
      </c>
      <c r="B900" s="7">
        <v>701.87497799896664</v>
      </c>
      <c r="C900" s="7">
        <v>532.35439309646358</v>
      </c>
      <c r="D900" s="7">
        <v>129</v>
      </c>
      <c r="E900" s="7">
        <v>146</v>
      </c>
      <c r="F900" s="7">
        <v>3496.0218181818182</v>
      </c>
      <c r="G900" s="7">
        <v>1295.270747788863</v>
      </c>
      <c r="H900" s="7">
        <v>1157.913294953529</v>
      </c>
    </row>
    <row r="901" spans="1:8" x14ac:dyDescent="0.3">
      <c r="A901" s="7">
        <v>898</v>
      </c>
      <c r="B901" s="7">
        <v>922.39063589710042</v>
      </c>
      <c r="C901" s="7">
        <v>628.07579044283852</v>
      </c>
      <c r="D901" s="7">
        <v>131</v>
      </c>
      <c r="E901" s="7">
        <v>146</v>
      </c>
      <c r="F901" s="7">
        <v>6714.425992779783</v>
      </c>
      <c r="G901" s="7">
        <v>2732.2051561453391</v>
      </c>
      <c r="H901" s="7">
        <v>2439.5053633489351</v>
      </c>
    </row>
    <row r="902" spans="1:8" x14ac:dyDescent="0.3">
      <c r="A902" s="7">
        <v>899</v>
      </c>
      <c r="B902" s="7">
        <v>731.74872490847758</v>
      </c>
      <c r="C902" s="7">
        <v>509.1888193973798</v>
      </c>
      <c r="D902" s="7">
        <v>131</v>
      </c>
      <c r="E902" s="7">
        <v>146</v>
      </c>
      <c r="F902" s="7">
        <v>5296.584837545126</v>
      </c>
      <c r="G902" s="7">
        <v>2000.333447394049</v>
      </c>
      <c r="H902" s="7">
        <v>1823.4633538241801</v>
      </c>
    </row>
    <row r="903" spans="1:8" x14ac:dyDescent="0.3">
      <c r="A903" s="7">
        <v>900</v>
      </c>
      <c r="B903" s="7">
        <v>1889.346999615263</v>
      </c>
      <c r="C903" s="7">
        <v>922.60560212414907</v>
      </c>
      <c r="D903" s="7">
        <v>128</v>
      </c>
      <c r="E903" s="7">
        <v>146</v>
      </c>
      <c r="F903" s="7">
        <v>6278.2262773722632</v>
      </c>
      <c r="G903" s="7">
        <v>1335.625362657883</v>
      </c>
      <c r="H903" s="7">
        <v>1308.934670868925</v>
      </c>
    </row>
    <row r="904" spans="1:8" x14ac:dyDescent="0.3">
      <c r="A904" s="7">
        <v>901</v>
      </c>
      <c r="B904" s="7">
        <v>1010.183662492335</v>
      </c>
      <c r="C904" s="7">
        <v>636.02243419104946</v>
      </c>
      <c r="D904" s="7">
        <v>131</v>
      </c>
      <c r="E904" s="7">
        <v>146</v>
      </c>
      <c r="F904" s="7">
        <v>7118.4476534296027</v>
      </c>
      <c r="G904" s="7">
        <v>2176.287673578091</v>
      </c>
      <c r="H904" s="7">
        <v>1948.418237991265</v>
      </c>
    </row>
    <row r="905" spans="1:8" x14ac:dyDescent="0.3">
      <c r="A905" s="7">
        <v>902</v>
      </c>
      <c r="B905" s="7">
        <v>2292.5949743702631</v>
      </c>
      <c r="C905" s="7">
        <v>907.85375702114584</v>
      </c>
      <c r="D905" s="7">
        <v>128</v>
      </c>
      <c r="E905" s="7">
        <v>146</v>
      </c>
      <c r="F905" s="7">
        <v>4778.6277372262784</v>
      </c>
      <c r="G905" s="7">
        <v>826.55843335483553</v>
      </c>
      <c r="H905" s="7">
        <v>870.75413307889198</v>
      </c>
    </row>
    <row r="906" spans="1:8" x14ac:dyDescent="0.3">
      <c r="A906" s="7">
        <v>903</v>
      </c>
      <c r="B906" s="7">
        <v>1813.9914491437339</v>
      </c>
      <c r="C906" s="7">
        <v>1278.027332878172</v>
      </c>
      <c r="D906" s="7">
        <v>128</v>
      </c>
      <c r="E906" s="7">
        <v>146</v>
      </c>
      <c r="F906" s="7">
        <v>11788.97080291971</v>
      </c>
      <c r="G906" s="7">
        <v>2910.8391562829438</v>
      </c>
      <c r="H906" s="7">
        <v>2834.174055230636</v>
      </c>
    </row>
    <row r="907" spans="1:8" x14ac:dyDescent="0.3">
      <c r="A907" s="7">
        <v>904</v>
      </c>
      <c r="B907" s="7">
        <v>2070.3223516973139</v>
      </c>
      <c r="C907" s="7">
        <v>1169.2057047699079</v>
      </c>
      <c r="D907" s="7">
        <v>128</v>
      </c>
      <c r="E907" s="7">
        <v>146</v>
      </c>
      <c r="F907" s="7">
        <v>5969.5620437956204</v>
      </c>
      <c r="G907" s="7">
        <v>1983.2241505311499</v>
      </c>
      <c r="H907" s="7">
        <v>1963.2437531408509</v>
      </c>
    </row>
    <row r="908" spans="1:8" x14ac:dyDescent="0.3">
      <c r="A908" s="7">
        <v>905</v>
      </c>
      <c r="B908" s="7">
        <v>1209.2368858818711</v>
      </c>
      <c r="C908" s="7">
        <v>847.894019659837</v>
      </c>
      <c r="D908" s="7">
        <v>129</v>
      </c>
      <c r="E908" s="7">
        <v>146</v>
      </c>
      <c r="F908" s="7">
        <v>6889.6072727272731</v>
      </c>
      <c r="G908" s="7">
        <v>2205.6621375714549</v>
      </c>
      <c r="H908" s="7">
        <v>1901.132690489887</v>
      </c>
    </row>
    <row r="909" spans="1:8" x14ac:dyDescent="0.3">
      <c r="A909" s="7">
        <v>906</v>
      </c>
      <c r="B909" s="7">
        <v>1527.6050708704529</v>
      </c>
      <c r="C909" s="7">
        <v>812.27887098049905</v>
      </c>
      <c r="D909" s="7">
        <v>129</v>
      </c>
      <c r="E909" s="7">
        <v>146</v>
      </c>
      <c r="F909" s="7">
        <v>10532.27272727273</v>
      </c>
      <c r="G909" s="7">
        <v>3467.474565222522</v>
      </c>
      <c r="H909" s="7">
        <v>2821.6472527901292</v>
      </c>
    </row>
    <row r="910" spans="1:8" x14ac:dyDescent="0.3">
      <c r="A910" s="7">
        <v>907</v>
      </c>
      <c r="B910" s="7">
        <v>1071.2920706479481</v>
      </c>
      <c r="C910" s="7">
        <v>643.02874034181787</v>
      </c>
      <c r="D910" s="7">
        <v>129</v>
      </c>
      <c r="E910" s="7">
        <v>146</v>
      </c>
      <c r="F910" s="7">
        <v>6868.6981818181821</v>
      </c>
      <c r="G910" s="7">
        <v>1923.7655701753911</v>
      </c>
      <c r="H910" s="7">
        <v>1558.2330966712409</v>
      </c>
    </row>
    <row r="911" spans="1:8" x14ac:dyDescent="0.3">
      <c r="A911" s="7">
        <v>908</v>
      </c>
      <c r="B911" s="7">
        <v>636.28245609317264</v>
      </c>
      <c r="C911" s="7">
        <v>405.73029906810342</v>
      </c>
      <c r="D911" s="7">
        <v>129</v>
      </c>
      <c r="E911" s="7">
        <v>146</v>
      </c>
      <c r="F911" s="7">
        <v>4129.7818181818184</v>
      </c>
      <c r="G911" s="7">
        <v>1750.1838795975409</v>
      </c>
      <c r="H911" s="7">
        <v>1579.7014045056931</v>
      </c>
    </row>
    <row r="912" spans="1:8" x14ac:dyDescent="0.3">
      <c r="A912" s="7">
        <v>909</v>
      </c>
      <c r="B912" s="7">
        <v>1609.7557588537829</v>
      </c>
      <c r="C912" s="7">
        <v>3555.9405171302278</v>
      </c>
      <c r="D912" s="7">
        <v>128</v>
      </c>
      <c r="E912" s="7">
        <v>146</v>
      </c>
      <c r="F912" s="7">
        <v>11258.135036496349</v>
      </c>
      <c r="G912" s="7">
        <v>3604.5834624128211</v>
      </c>
      <c r="H912" s="7">
        <v>4828.1703041940609</v>
      </c>
    </row>
    <row r="913" spans="1:8" x14ac:dyDescent="0.3">
      <c r="A913" s="7">
        <v>910</v>
      </c>
      <c r="B913" s="7">
        <v>945.92341402565535</v>
      </c>
      <c r="C913" s="7">
        <v>535.19738296967012</v>
      </c>
      <c r="D913" s="7">
        <v>130</v>
      </c>
      <c r="E913" s="7">
        <v>146</v>
      </c>
      <c r="F913" s="7">
        <v>5915</v>
      </c>
      <c r="G913" s="7">
        <v>2179.2228395956631</v>
      </c>
      <c r="H913" s="7">
        <v>1993.4553604163309</v>
      </c>
    </row>
    <row r="914" spans="1:8" x14ac:dyDescent="0.3">
      <c r="A914" s="7">
        <v>911</v>
      </c>
      <c r="B914" s="7">
        <v>1482.328298858049</v>
      </c>
      <c r="C914" s="7">
        <v>743.1859883804882</v>
      </c>
      <c r="D914" s="7">
        <v>131</v>
      </c>
      <c r="E914" s="7">
        <v>146</v>
      </c>
      <c r="F914" s="7">
        <v>9822.3357400722016</v>
      </c>
      <c r="G914" s="7">
        <v>3019.9375100961111</v>
      </c>
      <c r="H914" s="7">
        <v>2437.6326700810719</v>
      </c>
    </row>
    <row r="915" spans="1:8" x14ac:dyDescent="0.3">
      <c r="A915" s="7">
        <v>912</v>
      </c>
      <c r="B915" s="7">
        <v>1152.671242912209</v>
      </c>
      <c r="C915" s="7">
        <v>643.10907953944468</v>
      </c>
      <c r="D915" s="7">
        <v>131</v>
      </c>
      <c r="E915" s="7">
        <v>146</v>
      </c>
      <c r="F915" s="7">
        <v>5724.6859205776173</v>
      </c>
      <c r="G915" s="7">
        <v>1810.3331670089131</v>
      </c>
      <c r="H915" s="7">
        <v>1342.444988796638</v>
      </c>
    </row>
    <row r="916" spans="1:8" x14ac:dyDescent="0.3">
      <c r="A916" s="7">
        <v>913</v>
      </c>
      <c r="B916" s="7">
        <v>1466.5493195600679</v>
      </c>
      <c r="C916" s="7">
        <v>1031.218417920335</v>
      </c>
      <c r="D916" s="7">
        <v>127</v>
      </c>
      <c r="E916" s="7">
        <v>146</v>
      </c>
      <c r="F916" s="7">
        <v>8648.5714285714294</v>
      </c>
      <c r="G916" s="7">
        <v>3546.280840986738</v>
      </c>
      <c r="H916" s="7">
        <v>3135.6090470418039</v>
      </c>
    </row>
    <row r="917" spans="1:8" x14ac:dyDescent="0.3">
      <c r="A917" s="7">
        <v>914</v>
      </c>
      <c r="B917" s="7">
        <v>1420.7864608898819</v>
      </c>
      <c r="C917" s="7">
        <v>1019.1372616992541</v>
      </c>
      <c r="D917" s="7">
        <v>131</v>
      </c>
      <c r="E917" s="7">
        <v>146</v>
      </c>
      <c r="F917" s="7">
        <v>9523.1805054151628</v>
      </c>
      <c r="G917" s="7">
        <v>2857.1435129224978</v>
      </c>
      <c r="H917" s="7">
        <v>2410.332772739579</v>
      </c>
    </row>
    <row r="918" spans="1:8" x14ac:dyDescent="0.3">
      <c r="A918" s="7">
        <v>915</v>
      </c>
      <c r="B918" s="7">
        <v>2225.3269128021748</v>
      </c>
      <c r="C918" s="7">
        <v>1124.4321202454621</v>
      </c>
      <c r="D918" s="7">
        <v>128</v>
      </c>
      <c r="E918" s="7">
        <v>146</v>
      </c>
      <c r="F918" s="7">
        <v>6673.7956204379561</v>
      </c>
      <c r="G918" s="7">
        <v>1763.327414382394</v>
      </c>
      <c r="H918" s="7">
        <v>1659.0965750086641</v>
      </c>
    </row>
    <row r="919" spans="1:8" x14ac:dyDescent="0.3">
      <c r="A919" s="7">
        <v>916</v>
      </c>
      <c r="B919" s="7">
        <v>847.00744983264167</v>
      </c>
      <c r="C919" s="7">
        <v>531.1846336148983</v>
      </c>
      <c r="D919" s="7">
        <v>127</v>
      </c>
      <c r="E919" s="7">
        <v>146</v>
      </c>
      <c r="F919" s="7">
        <v>5552.8241758241757</v>
      </c>
      <c r="G919" s="7">
        <v>1572.9802172244661</v>
      </c>
      <c r="H919" s="7">
        <v>1326.704628480988</v>
      </c>
    </row>
    <row r="920" spans="1:8" x14ac:dyDescent="0.3">
      <c r="A920" s="7">
        <v>917</v>
      </c>
      <c r="B920" s="7">
        <v>1458.572217291417</v>
      </c>
      <c r="C920" s="7">
        <v>553.46899018684303</v>
      </c>
      <c r="D920" s="7">
        <v>129</v>
      </c>
      <c r="E920" s="7">
        <v>146</v>
      </c>
      <c r="F920" s="7">
        <v>6609.3236363636361</v>
      </c>
      <c r="G920" s="7">
        <v>2547.6478724836652</v>
      </c>
      <c r="H920" s="7">
        <v>1896.545843628965</v>
      </c>
    </row>
    <row r="921" spans="1:8" x14ac:dyDescent="0.3">
      <c r="A921" s="7">
        <v>918</v>
      </c>
      <c r="B921" s="7">
        <v>846.12806369584393</v>
      </c>
      <c r="C921" s="7">
        <v>490.81529533837568</v>
      </c>
      <c r="D921" s="7">
        <v>131</v>
      </c>
      <c r="E921" s="7">
        <v>146</v>
      </c>
      <c r="F921" s="7">
        <v>5242.1624548736463</v>
      </c>
      <c r="G921" s="7">
        <v>1801.4776081092671</v>
      </c>
      <c r="H921" s="7">
        <v>1545.7306469358471</v>
      </c>
    </row>
    <row r="922" spans="1:8" x14ac:dyDescent="0.3">
      <c r="A922" s="7">
        <v>919</v>
      </c>
      <c r="B922" s="7">
        <v>1971.7182705268399</v>
      </c>
      <c r="C922" s="7">
        <v>955.99121157651484</v>
      </c>
      <c r="D922" s="7">
        <v>128</v>
      </c>
      <c r="E922" s="7">
        <v>146</v>
      </c>
      <c r="F922" s="7">
        <v>5584.6204379562041</v>
      </c>
      <c r="G922" s="7">
        <v>1944.993165556758</v>
      </c>
      <c r="H922" s="7">
        <v>1788.474261747009</v>
      </c>
    </row>
    <row r="923" spans="1:8" x14ac:dyDescent="0.3">
      <c r="A923" s="7">
        <v>920</v>
      </c>
      <c r="B923" s="7">
        <v>1958.5277369157041</v>
      </c>
      <c r="C923" s="7">
        <v>1237.738946621776</v>
      </c>
      <c r="D923" s="7">
        <v>128</v>
      </c>
      <c r="E923" s="7">
        <v>146</v>
      </c>
      <c r="F923" s="7">
        <v>6739.7992700729928</v>
      </c>
      <c r="G923" s="7">
        <v>1527.8383626876241</v>
      </c>
      <c r="H923" s="7">
        <v>1552.5182636298071</v>
      </c>
    </row>
    <row r="924" spans="1:8" x14ac:dyDescent="0.3">
      <c r="A924" s="7">
        <v>921</v>
      </c>
      <c r="B924" s="7">
        <v>952.96738317098561</v>
      </c>
      <c r="C924" s="7">
        <v>1002.335424311077</v>
      </c>
      <c r="D924" s="7">
        <v>131</v>
      </c>
      <c r="E924" s="7">
        <v>146</v>
      </c>
      <c r="F924" s="7">
        <v>9207.5487364620931</v>
      </c>
      <c r="G924" s="7">
        <v>2061.8898394249059</v>
      </c>
      <c r="H924" s="7">
        <v>1788.6644880147121</v>
      </c>
    </row>
    <row r="925" spans="1:8" x14ac:dyDescent="0.3">
      <c r="A925" s="7">
        <v>922</v>
      </c>
      <c r="B925" s="7">
        <v>1045.2313113627181</v>
      </c>
      <c r="C925" s="7">
        <v>712.34337211667025</v>
      </c>
      <c r="D925" s="7">
        <v>129</v>
      </c>
      <c r="E925" s="7">
        <v>146</v>
      </c>
      <c r="F925" s="7">
        <v>7626.3054545454543</v>
      </c>
      <c r="G925" s="7">
        <v>2050.5164541359259</v>
      </c>
      <c r="H925" s="7">
        <v>1786.9299474199599</v>
      </c>
    </row>
    <row r="926" spans="1:8" x14ac:dyDescent="0.3">
      <c r="A926" s="7">
        <v>923</v>
      </c>
      <c r="B926" s="7">
        <v>637.28265909954246</v>
      </c>
      <c r="C926" s="7">
        <v>557.41918484988719</v>
      </c>
      <c r="D926" s="7">
        <v>131</v>
      </c>
      <c r="E926" s="7">
        <v>146</v>
      </c>
      <c r="F926" s="7">
        <v>5479.5812274368227</v>
      </c>
      <c r="G926" s="7">
        <v>1059.1165661830421</v>
      </c>
      <c r="H926" s="7">
        <v>869.25179998710496</v>
      </c>
    </row>
    <row r="927" spans="1:8" x14ac:dyDescent="0.3">
      <c r="A927" s="7">
        <v>924</v>
      </c>
      <c r="B927" s="7">
        <v>755.59260280436479</v>
      </c>
      <c r="C927" s="7">
        <v>384.7257909384623</v>
      </c>
      <c r="D927" s="7">
        <v>129</v>
      </c>
      <c r="E927" s="7">
        <v>146</v>
      </c>
      <c r="F927" s="7">
        <v>4648.4218181818178</v>
      </c>
      <c r="G927" s="7">
        <v>1565.1607986342481</v>
      </c>
      <c r="H927" s="7">
        <v>1353.298790525713</v>
      </c>
    </row>
    <row r="928" spans="1:8" x14ac:dyDescent="0.3">
      <c r="A928" s="7">
        <v>925</v>
      </c>
      <c r="B928" s="7">
        <v>1122.56522129325</v>
      </c>
      <c r="C928" s="7">
        <v>909.73822655877439</v>
      </c>
      <c r="D928" s="7">
        <v>128</v>
      </c>
      <c r="E928" s="7">
        <v>146</v>
      </c>
      <c r="F928" s="7">
        <v>6832.0328467153286</v>
      </c>
      <c r="G928" s="7">
        <v>1829.178978223563</v>
      </c>
      <c r="H928" s="7">
        <v>1564.5809014749841</v>
      </c>
    </row>
    <row r="929" spans="1:8" x14ac:dyDescent="0.3">
      <c r="A929" s="7">
        <v>926</v>
      </c>
      <c r="B929" s="7">
        <v>1473.806977100342</v>
      </c>
      <c r="C929" s="7">
        <v>723.65892169845131</v>
      </c>
      <c r="D929" s="7">
        <v>129</v>
      </c>
      <c r="E929" s="7">
        <v>146</v>
      </c>
      <c r="F929" s="7">
        <v>7691.3963636363633</v>
      </c>
      <c r="G929" s="7">
        <v>3085.820780841439</v>
      </c>
      <c r="H929" s="7">
        <v>2594.8065992808079</v>
      </c>
    </row>
    <row r="930" spans="1:8" x14ac:dyDescent="0.3">
      <c r="A930" s="7">
        <v>927</v>
      </c>
      <c r="B930" s="7">
        <v>1395.20413429986</v>
      </c>
      <c r="C930" s="7">
        <v>582.14269153517057</v>
      </c>
      <c r="D930" s="7">
        <v>129</v>
      </c>
      <c r="E930" s="7">
        <v>146</v>
      </c>
      <c r="F930" s="7">
        <v>6700.5090909090914</v>
      </c>
      <c r="G930" s="7">
        <v>2555.93474459045</v>
      </c>
      <c r="H930" s="7">
        <v>2098.224706223863</v>
      </c>
    </row>
    <row r="931" spans="1:8" x14ac:dyDescent="0.3">
      <c r="A931" s="7">
        <v>928</v>
      </c>
      <c r="B931" s="7">
        <v>1513.8179671258661</v>
      </c>
      <c r="C931" s="7">
        <v>861.27283764680112</v>
      </c>
      <c r="D931" s="7">
        <v>129</v>
      </c>
      <c r="E931" s="7">
        <v>146</v>
      </c>
      <c r="F931" s="7">
        <v>8384.44</v>
      </c>
      <c r="G931" s="7">
        <v>3823.7271925976688</v>
      </c>
      <c r="H931" s="7">
        <v>3352.0488285994679</v>
      </c>
    </row>
    <row r="932" spans="1:8" x14ac:dyDescent="0.3">
      <c r="A932" s="7">
        <v>929</v>
      </c>
      <c r="B932" s="7">
        <v>876.17480234737468</v>
      </c>
      <c r="C932" s="7">
        <v>603.48725584798251</v>
      </c>
      <c r="D932" s="7">
        <v>131</v>
      </c>
      <c r="E932" s="7">
        <v>146</v>
      </c>
      <c r="F932" s="7">
        <v>5874.8303249097471</v>
      </c>
      <c r="G932" s="7">
        <v>1651.165265145929</v>
      </c>
      <c r="H932" s="7">
        <v>1452.245778568443</v>
      </c>
    </row>
    <row r="933" spans="1:8" x14ac:dyDescent="0.3">
      <c r="A933" s="7">
        <v>930</v>
      </c>
      <c r="B933" s="7">
        <v>995.06167578464601</v>
      </c>
      <c r="C933" s="7">
        <v>753.32726484223156</v>
      </c>
      <c r="D933" s="7">
        <v>129</v>
      </c>
      <c r="E933" s="7">
        <v>146</v>
      </c>
      <c r="F933" s="7">
        <v>6845.5309090909104</v>
      </c>
      <c r="G933" s="7">
        <v>2303.998607073223</v>
      </c>
      <c r="H933" s="7">
        <v>2078.8665675024581</v>
      </c>
    </row>
    <row r="934" spans="1:8" x14ac:dyDescent="0.3">
      <c r="A934" s="7">
        <v>931</v>
      </c>
      <c r="B934" s="7">
        <v>716.09028606883214</v>
      </c>
      <c r="C934" s="7">
        <v>604.17751265636889</v>
      </c>
      <c r="D934" s="7">
        <v>131</v>
      </c>
      <c r="E934" s="7">
        <v>177</v>
      </c>
      <c r="F934" s="7">
        <v>3342.6883116883118</v>
      </c>
      <c r="G934" s="7">
        <v>1246.6409891084079</v>
      </c>
      <c r="H934" s="7">
        <v>1132.9259229502411</v>
      </c>
    </row>
    <row r="935" spans="1:8" x14ac:dyDescent="0.3">
      <c r="A935" s="7">
        <v>932</v>
      </c>
      <c r="B935" s="7">
        <v>1473.277016899641</v>
      </c>
      <c r="C935" s="7">
        <v>904.08244750923052</v>
      </c>
      <c r="D935" s="7">
        <v>128</v>
      </c>
      <c r="E935" s="7">
        <v>146</v>
      </c>
      <c r="F935" s="7">
        <v>7477.2007299270072</v>
      </c>
      <c r="G935" s="7">
        <v>2304.834955452342</v>
      </c>
      <c r="H935" s="7">
        <v>2184.3931228303418</v>
      </c>
    </row>
    <row r="936" spans="1:8" x14ac:dyDescent="0.3">
      <c r="A936" s="7">
        <v>933</v>
      </c>
      <c r="B936" s="7">
        <v>1276.4373900082539</v>
      </c>
      <c r="C936" s="7">
        <v>691.75039064571467</v>
      </c>
      <c r="D936" s="7">
        <v>131</v>
      </c>
      <c r="E936" s="7">
        <v>146</v>
      </c>
      <c r="F936" s="7">
        <v>7476.8086642599274</v>
      </c>
      <c r="G936" s="7">
        <v>2422.7761992083342</v>
      </c>
      <c r="H936" s="7">
        <v>1986.628526954546</v>
      </c>
    </row>
    <row r="937" spans="1:8" x14ac:dyDescent="0.3">
      <c r="A937" s="7">
        <v>934</v>
      </c>
      <c r="B937" s="7">
        <v>1166.705237605823</v>
      </c>
      <c r="C937" s="7">
        <v>545.74005866998118</v>
      </c>
      <c r="D937" s="7">
        <v>129</v>
      </c>
      <c r="E937" s="7">
        <v>146</v>
      </c>
      <c r="F937" s="7">
        <v>6832.1890909090907</v>
      </c>
      <c r="G937" s="7">
        <v>2249.0328498467779</v>
      </c>
      <c r="H937" s="7">
        <v>1794.9097050590231</v>
      </c>
    </row>
    <row r="938" spans="1:8" x14ac:dyDescent="0.3">
      <c r="A938" s="7">
        <v>935</v>
      </c>
      <c r="B938" s="7">
        <v>923.14924103549845</v>
      </c>
      <c r="C938" s="7">
        <v>594.18685984089166</v>
      </c>
      <c r="D938" s="7">
        <v>131</v>
      </c>
      <c r="E938" s="7">
        <v>146</v>
      </c>
      <c r="F938" s="7">
        <v>5671.7761732851986</v>
      </c>
      <c r="G938" s="7">
        <v>1863.298638649718</v>
      </c>
      <c r="H938" s="7">
        <v>1578.608067731459</v>
      </c>
    </row>
    <row r="939" spans="1:8" x14ac:dyDescent="0.3">
      <c r="A939" s="7">
        <v>936</v>
      </c>
      <c r="B939" s="7">
        <v>1133.6572108093631</v>
      </c>
      <c r="C939" s="7">
        <v>673.27890750507891</v>
      </c>
      <c r="D939" s="7">
        <v>129</v>
      </c>
      <c r="E939" s="7">
        <v>146</v>
      </c>
      <c r="F939" s="7">
        <v>6918.4763636363632</v>
      </c>
      <c r="G939" s="7">
        <v>1928.0127174787231</v>
      </c>
      <c r="H939" s="7">
        <v>1541.7940603911841</v>
      </c>
    </row>
    <row r="940" spans="1:8" x14ac:dyDescent="0.3">
      <c r="A940" s="7">
        <v>937</v>
      </c>
      <c r="B940" s="7">
        <v>1350.650904171835</v>
      </c>
      <c r="C940" s="7">
        <v>1034.5862064947801</v>
      </c>
      <c r="D940" s="7">
        <v>129</v>
      </c>
      <c r="E940" s="7">
        <v>146</v>
      </c>
      <c r="F940" s="7">
        <v>7837.8836363636356</v>
      </c>
      <c r="G940" s="7">
        <v>2713.2681715124731</v>
      </c>
      <c r="H940" s="7">
        <v>2393.8374949137201</v>
      </c>
    </row>
    <row r="941" spans="1:8" x14ac:dyDescent="0.3">
      <c r="A941" s="7">
        <v>938</v>
      </c>
      <c r="B941" s="7">
        <v>948.60706991736072</v>
      </c>
      <c r="C941" s="7">
        <v>576.59000135970007</v>
      </c>
      <c r="D941" s="7">
        <v>131</v>
      </c>
      <c r="E941" s="7">
        <v>146</v>
      </c>
      <c r="F941" s="7">
        <v>9434.1516245487364</v>
      </c>
      <c r="G941" s="7">
        <v>2243.6777656407198</v>
      </c>
      <c r="H941" s="7">
        <v>2042.1084591431741</v>
      </c>
    </row>
    <row r="942" spans="1:8" x14ac:dyDescent="0.3">
      <c r="A942" s="7">
        <v>939</v>
      </c>
      <c r="B942" s="7">
        <v>852.94486975810821</v>
      </c>
      <c r="C942" s="7">
        <v>563.51987839650201</v>
      </c>
      <c r="D942" s="7">
        <v>129</v>
      </c>
      <c r="E942" s="7">
        <v>146</v>
      </c>
      <c r="F942" s="7">
        <v>6045.7527272727266</v>
      </c>
      <c r="G942" s="7">
        <v>2090.808311478801</v>
      </c>
      <c r="H942" s="7">
        <v>1786.117468026401</v>
      </c>
    </row>
    <row r="943" spans="1:8" x14ac:dyDescent="0.3">
      <c r="A943" s="7">
        <v>940</v>
      </c>
      <c r="B943" s="7">
        <v>1160.92405885164</v>
      </c>
      <c r="C943" s="7">
        <v>695.91403847523156</v>
      </c>
      <c r="D943" s="7">
        <v>131</v>
      </c>
      <c r="E943" s="7">
        <v>146</v>
      </c>
      <c r="F943" s="7">
        <v>7616.8122743682306</v>
      </c>
      <c r="G943" s="7">
        <v>2371.0051786640852</v>
      </c>
      <c r="H943" s="7">
        <v>2004.881766404262</v>
      </c>
    </row>
    <row r="944" spans="1:8" x14ac:dyDescent="0.3">
      <c r="A944" s="7">
        <v>941</v>
      </c>
      <c r="B944" s="7">
        <v>1995.621617969259</v>
      </c>
      <c r="C944" s="7">
        <v>895.37868252414523</v>
      </c>
      <c r="D944" s="7">
        <v>128</v>
      </c>
      <c r="E944" s="7">
        <v>146</v>
      </c>
      <c r="F944" s="7">
        <v>5355.4890510948908</v>
      </c>
      <c r="G944" s="7">
        <v>1511.982328765783</v>
      </c>
      <c r="H944" s="7">
        <v>1539.0476440594459</v>
      </c>
    </row>
    <row r="945" spans="1:8" x14ac:dyDescent="0.3">
      <c r="A945" s="7">
        <v>942</v>
      </c>
      <c r="B945" s="7">
        <v>1104.894417445528</v>
      </c>
      <c r="C945" s="7">
        <v>591.69084463719321</v>
      </c>
      <c r="D945" s="7">
        <v>129</v>
      </c>
      <c r="E945" s="7">
        <v>146</v>
      </c>
      <c r="F945" s="7">
        <v>6430.1890909090907</v>
      </c>
      <c r="G945" s="7">
        <v>2512.742118381505</v>
      </c>
      <c r="H945" s="7">
        <v>2113.4260748776151</v>
      </c>
    </row>
    <row r="946" spans="1:8" x14ac:dyDescent="0.3">
      <c r="A946" s="7">
        <v>943</v>
      </c>
      <c r="B946" s="7">
        <v>1021.11606410639</v>
      </c>
      <c r="C946" s="7">
        <v>582.06793517782035</v>
      </c>
      <c r="D946" s="7">
        <v>129</v>
      </c>
      <c r="E946" s="7">
        <v>146</v>
      </c>
      <c r="F946" s="7">
        <v>7185.0727272727272</v>
      </c>
      <c r="G946" s="7">
        <v>1898.4486302110961</v>
      </c>
      <c r="H946" s="7">
        <v>1649.4792432681911</v>
      </c>
    </row>
    <row r="947" spans="1:8" x14ac:dyDescent="0.3">
      <c r="A947" s="7">
        <v>944</v>
      </c>
      <c r="B947" s="7">
        <v>1393.7759302826689</v>
      </c>
      <c r="C947" s="7">
        <v>927.33712014605044</v>
      </c>
      <c r="D947" s="7">
        <v>131</v>
      </c>
      <c r="E947" s="7">
        <v>146</v>
      </c>
      <c r="F947" s="7">
        <v>7375.8808664259932</v>
      </c>
      <c r="G947" s="7">
        <v>2867.5702937003962</v>
      </c>
      <c r="H947" s="7">
        <v>2266.133980853313</v>
      </c>
    </row>
    <row r="948" spans="1:8" x14ac:dyDescent="0.3">
      <c r="A948" s="7">
        <v>945</v>
      </c>
      <c r="B948" s="7">
        <v>793.35000190123719</v>
      </c>
      <c r="C948" s="7">
        <v>447.48402025208509</v>
      </c>
      <c r="D948" s="7">
        <v>131</v>
      </c>
      <c r="E948" s="7">
        <v>146</v>
      </c>
      <c r="F948" s="7">
        <v>4309.0830324909748</v>
      </c>
      <c r="G948" s="7">
        <v>1299.0097432186949</v>
      </c>
      <c r="H948" s="7">
        <v>1015.971948431648</v>
      </c>
    </row>
    <row r="949" spans="1:8" x14ac:dyDescent="0.3">
      <c r="A949" s="7">
        <v>946</v>
      </c>
      <c r="B949" s="7">
        <v>525.19322156089231</v>
      </c>
      <c r="C949" s="7">
        <v>319.39543844712949</v>
      </c>
      <c r="D949" s="7">
        <v>129</v>
      </c>
      <c r="E949" s="7">
        <v>146</v>
      </c>
      <c r="F949" s="7">
        <v>4204.1672727272726</v>
      </c>
      <c r="G949" s="7">
        <v>1279.2019314382501</v>
      </c>
      <c r="H949" s="7">
        <v>1088.9667340856679</v>
      </c>
    </row>
    <row r="950" spans="1:8" x14ac:dyDescent="0.3">
      <c r="A950" s="7">
        <v>947</v>
      </c>
      <c r="B950" s="7">
        <v>1072.176150311856</v>
      </c>
      <c r="C950" s="7">
        <v>858.28965787869799</v>
      </c>
      <c r="D950" s="7">
        <v>128</v>
      </c>
      <c r="E950" s="7">
        <v>146</v>
      </c>
      <c r="F950" s="7">
        <v>7975.0218978102193</v>
      </c>
      <c r="G950" s="7">
        <v>2005.7834815851879</v>
      </c>
      <c r="H950" s="7">
        <v>1710.229438665091</v>
      </c>
    </row>
    <row r="951" spans="1:8" x14ac:dyDescent="0.3">
      <c r="A951" s="7">
        <v>948</v>
      </c>
      <c r="B951" s="7">
        <v>836.01663520060947</v>
      </c>
      <c r="C951" s="7">
        <v>806.01741070762159</v>
      </c>
      <c r="D951" s="7">
        <v>135</v>
      </c>
      <c r="E951" s="7">
        <v>201</v>
      </c>
      <c r="F951" s="7">
        <v>7952.5148809523807</v>
      </c>
      <c r="G951" s="7">
        <v>1962.374306425387</v>
      </c>
      <c r="H951" s="7">
        <v>1568.128074079543</v>
      </c>
    </row>
    <row r="952" spans="1:8" x14ac:dyDescent="0.3">
      <c r="A952" s="7">
        <v>949</v>
      </c>
      <c r="B952" s="7">
        <v>751.65697384132818</v>
      </c>
      <c r="C952" s="7">
        <v>353.90094757230162</v>
      </c>
      <c r="D952" s="7">
        <v>131</v>
      </c>
      <c r="E952" s="7">
        <v>146</v>
      </c>
      <c r="F952" s="7">
        <v>5333.5126353790611</v>
      </c>
      <c r="G952" s="7">
        <v>2090.6479710681319</v>
      </c>
      <c r="H952" s="7">
        <v>1911.013126912758</v>
      </c>
    </row>
    <row r="953" spans="1:8" x14ac:dyDescent="0.3">
      <c r="A953" s="7">
        <v>950</v>
      </c>
      <c r="B953" s="7">
        <v>707.11809037489888</v>
      </c>
      <c r="C953" s="7">
        <v>398.31567279105781</v>
      </c>
      <c r="D953" s="7">
        <v>128</v>
      </c>
      <c r="E953" s="7">
        <v>146</v>
      </c>
      <c r="F953" s="7">
        <v>5676.8978102189794</v>
      </c>
      <c r="G953" s="7">
        <v>1777.136168372446</v>
      </c>
      <c r="H953" s="7">
        <v>1506.9618192434521</v>
      </c>
    </row>
    <row r="954" spans="1:8" x14ac:dyDescent="0.3">
      <c r="A954" s="7">
        <v>951</v>
      </c>
      <c r="B954" s="7">
        <v>1133.596021680876</v>
      </c>
      <c r="C954" s="7">
        <v>721.92526484845257</v>
      </c>
      <c r="D954" s="7">
        <v>129</v>
      </c>
      <c r="E954" s="7">
        <v>146</v>
      </c>
      <c r="F954" s="7">
        <v>8337.6545454545449</v>
      </c>
      <c r="G954" s="7">
        <v>2791.5958162940401</v>
      </c>
      <c r="H954" s="7">
        <v>2454.554352320019</v>
      </c>
    </row>
    <row r="955" spans="1:8" x14ac:dyDescent="0.3">
      <c r="A955" s="7">
        <v>952</v>
      </c>
      <c r="B955" s="7">
        <v>1968.888881214835</v>
      </c>
      <c r="C955" s="7">
        <v>974.74037983797871</v>
      </c>
      <c r="D955" s="7">
        <v>128</v>
      </c>
      <c r="E955" s="7">
        <v>146</v>
      </c>
      <c r="F955" s="7">
        <v>6271.2883211678836</v>
      </c>
      <c r="G955" s="7">
        <v>1580.325327464253</v>
      </c>
      <c r="H955" s="7">
        <v>1561.287780726723</v>
      </c>
    </row>
    <row r="956" spans="1:8" x14ac:dyDescent="0.3">
      <c r="A956" s="7">
        <v>953</v>
      </c>
      <c r="B956" s="7">
        <v>679.78456874018582</v>
      </c>
      <c r="C956" s="7">
        <v>497.98711293827262</v>
      </c>
      <c r="D956" s="7">
        <v>131</v>
      </c>
      <c r="E956" s="7">
        <v>146</v>
      </c>
      <c r="F956" s="7">
        <v>5435.4693140794216</v>
      </c>
      <c r="G956" s="7">
        <v>1833.3414431927961</v>
      </c>
      <c r="H956" s="7">
        <v>1612.635116989564</v>
      </c>
    </row>
    <row r="957" spans="1:8" x14ac:dyDescent="0.3">
      <c r="A957" s="7">
        <v>954</v>
      </c>
      <c r="B957" s="7">
        <v>1229.4863418902621</v>
      </c>
      <c r="C957" s="7">
        <v>687.21689351868122</v>
      </c>
      <c r="D957" s="7">
        <v>129</v>
      </c>
      <c r="E957" s="7">
        <v>146</v>
      </c>
      <c r="F957" s="7">
        <v>6890.3672727272724</v>
      </c>
      <c r="G957" s="7">
        <v>2603.2364040159309</v>
      </c>
      <c r="H957" s="7">
        <v>2246.162605880259</v>
      </c>
    </row>
    <row r="958" spans="1:8" x14ac:dyDescent="0.3">
      <c r="A958" s="7">
        <v>955</v>
      </c>
      <c r="B958" s="7">
        <v>979.4079465125991</v>
      </c>
      <c r="C958" s="7">
        <v>519.61808140993469</v>
      </c>
      <c r="D958" s="7">
        <v>129</v>
      </c>
      <c r="E958" s="7">
        <v>146</v>
      </c>
      <c r="F958" s="7">
        <v>5189.4909090909086</v>
      </c>
      <c r="G958" s="7">
        <v>1978.995109496447</v>
      </c>
      <c r="H958" s="7">
        <v>1638.356159114858</v>
      </c>
    </row>
    <row r="959" spans="1:8" x14ac:dyDescent="0.3">
      <c r="A959" s="7">
        <v>956</v>
      </c>
      <c r="B959" s="7">
        <v>613.49544091227926</v>
      </c>
      <c r="C959" s="7">
        <v>374.50514358029648</v>
      </c>
      <c r="D959" s="7">
        <v>127</v>
      </c>
      <c r="E959" s="7">
        <v>146</v>
      </c>
      <c r="F959" s="7">
        <v>3322.8937728937731</v>
      </c>
      <c r="G959" s="7">
        <v>1167.305953457095</v>
      </c>
      <c r="H959" s="7">
        <v>919.21256503924451</v>
      </c>
    </row>
    <row r="960" spans="1:8" x14ac:dyDescent="0.3">
      <c r="A960" s="7">
        <v>957</v>
      </c>
      <c r="B960" s="7">
        <v>1006.916358373902</v>
      </c>
      <c r="C960" s="7">
        <v>757.44658351170585</v>
      </c>
      <c r="D960" s="7">
        <v>131</v>
      </c>
      <c r="E960" s="7">
        <v>146</v>
      </c>
      <c r="F960" s="7">
        <v>8406.7184115523469</v>
      </c>
      <c r="G960" s="7">
        <v>2816.2265371232029</v>
      </c>
      <c r="H960" s="7">
        <v>2552.0423502626768</v>
      </c>
    </row>
    <row r="961" spans="1:8" x14ac:dyDescent="0.3">
      <c r="A961" s="7">
        <v>958</v>
      </c>
      <c r="B961" s="7">
        <v>437.65362969814532</v>
      </c>
      <c r="C961" s="7">
        <v>317.60538811734148</v>
      </c>
      <c r="D961" s="7">
        <v>131</v>
      </c>
      <c r="E961" s="7">
        <v>146</v>
      </c>
      <c r="F961" s="7">
        <v>3996.8122743682311</v>
      </c>
      <c r="G961" s="7">
        <v>813.67867412930536</v>
      </c>
      <c r="H961" s="7">
        <v>674.03081613223765</v>
      </c>
    </row>
    <row r="962" spans="1:8" x14ac:dyDescent="0.3">
      <c r="A962" s="7">
        <v>959</v>
      </c>
      <c r="B962" s="7">
        <v>882.54295403049616</v>
      </c>
      <c r="C962" s="7">
        <v>684.56724271669634</v>
      </c>
      <c r="D962" s="7">
        <v>131</v>
      </c>
      <c r="E962" s="7">
        <v>146</v>
      </c>
      <c r="F962" s="7">
        <v>7257.6678700361008</v>
      </c>
      <c r="G962" s="7">
        <v>1991.6185523375871</v>
      </c>
      <c r="H962" s="7">
        <v>1727.9821215304189</v>
      </c>
    </row>
    <row r="963" spans="1:8" x14ac:dyDescent="0.3">
      <c r="A963" s="7">
        <v>960</v>
      </c>
      <c r="B963" s="7">
        <v>929.87004526719818</v>
      </c>
      <c r="C963" s="7">
        <v>577.78124929439059</v>
      </c>
      <c r="D963" s="7">
        <v>129</v>
      </c>
      <c r="E963" s="7">
        <v>146</v>
      </c>
      <c r="F963" s="7">
        <v>6920</v>
      </c>
      <c r="G963" s="7">
        <v>2534.4170728640552</v>
      </c>
      <c r="H963" s="7">
        <v>2210.2871257106381</v>
      </c>
    </row>
    <row r="964" spans="1:8" x14ac:dyDescent="0.3">
      <c r="A964" s="7">
        <v>961</v>
      </c>
      <c r="B964" s="7">
        <v>990.09153434550967</v>
      </c>
      <c r="C964" s="7">
        <v>680.37746599207867</v>
      </c>
      <c r="D964" s="7">
        <v>129</v>
      </c>
      <c r="E964" s="7">
        <v>146</v>
      </c>
      <c r="F964" s="7">
        <v>6645.2327272727271</v>
      </c>
      <c r="G964" s="7">
        <v>2209.2888399425219</v>
      </c>
      <c r="H964" s="7">
        <v>1881.7355312554</v>
      </c>
    </row>
    <row r="965" spans="1:8" x14ac:dyDescent="0.3">
      <c r="A965" s="7">
        <v>962</v>
      </c>
      <c r="B965" s="7">
        <v>1048.4869728017879</v>
      </c>
      <c r="C965" s="7">
        <v>610.83927826012371</v>
      </c>
      <c r="D965" s="7">
        <v>129</v>
      </c>
      <c r="E965" s="7">
        <v>146</v>
      </c>
      <c r="F965" s="7">
        <v>6983.2145454545453</v>
      </c>
      <c r="G965" s="7">
        <v>2929.1461186660049</v>
      </c>
      <c r="H965" s="7">
        <v>2527.342804347074</v>
      </c>
    </row>
    <row r="966" spans="1:8" x14ac:dyDescent="0.3">
      <c r="A966" s="7">
        <v>963</v>
      </c>
      <c r="B966" s="7">
        <v>1655.392082092214</v>
      </c>
      <c r="C966" s="7">
        <v>959.95051060610263</v>
      </c>
      <c r="D966" s="7">
        <v>129</v>
      </c>
      <c r="E966" s="7">
        <v>146</v>
      </c>
      <c r="F966" s="7">
        <v>11082.232727272731</v>
      </c>
      <c r="G966" s="7">
        <v>4526.0187229639423</v>
      </c>
      <c r="H966" s="7">
        <v>3990.6502148129071</v>
      </c>
    </row>
    <row r="967" spans="1:8" x14ac:dyDescent="0.3">
      <c r="A967" s="7">
        <v>964</v>
      </c>
      <c r="B967" s="7">
        <v>1601.9517022348839</v>
      </c>
      <c r="C967" s="7">
        <v>905.13573440025243</v>
      </c>
      <c r="D967" s="7">
        <v>128</v>
      </c>
      <c r="E967" s="7">
        <v>146</v>
      </c>
      <c r="F967" s="7">
        <v>9370.6350364963509</v>
      </c>
      <c r="G967" s="7">
        <v>3241.2670904389379</v>
      </c>
      <c r="H967" s="7">
        <v>2669.0236055249329</v>
      </c>
    </row>
    <row r="968" spans="1:8" x14ac:dyDescent="0.3">
      <c r="A968" s="7">
        <v>965</v>
      </c>
      <c r="B968" s="7">
        <v>1150.283778344794</v>
      </c>
      <c r="C968" s="7">
        <v>815.67811243474875</v>
      </c>
      <c r="D968" s="7">
        <v>129</v>
      </c>
      <c r="E968" s="7">
        <v>146</v>
      </c>
      <c r="F968" s="7">
        <v>8109.090909090909</v>
      </c>
      <c r="G968" s="7">
        <v>3097.4244301960289</v>
      </c>
      <c r="H968" s="7">
        <v>2703.4903720525481</v>
      </c>
    </row>
    <row r="969" spans="1:8" x14ac:dyDescent="0.3">
      <c r="A969" s="7">
        <v>966</v>
      </c>
      <c r="B969" s="7">
        <v>836.96809704438954</v>
      </c>
      <c r="C969" s="7">
        <v>466.11316996167011</v>
      </c>
      <c r="D969" s="7">
        <v>129</v>
      </c>
      <c r="E969" s="7">
        <v>146</v>
      </c>
      <c r="F969" s="7">
        <v>4971.4654545454541</v>
      </c>
      <c r="G969" s="7">
        <v>1376.174252645141</v>
      </c>
      <c r="H969" s="7">
        <v>1053.6753418522219</v>
      </c>
    </row>
    <row r="970" spans="1:8" x14ac:dyDescent="0.3">
      <c r="A970" s="7">
        <v>967</v>
      </c>
      <c r="B970" s="7">
        <v>1292.682031560807</v>
      </c>
      <c r="C970" s="7">
        <v>682.68505073057133</v>
      </c>
      <c r="D970" s="7">
        <v>129</v>
      </c>
      <c r="E970" s="7">
        <v>146</v>
      </c>
      <c r="F970" s="7">
        <v>8140.3018181818179</v>
      </c>
      <c r="G970" s="7">
        <v>2607.0550688052122</v>
      </c>
      <c r="H970" s="7">
        <v>1973.2333541330111</v>
      </c>
    </row>
    <row r="971" spans="1:8" x14ac:dyDescent="0.3">
      <c r="A971" s="7">
        <v>968</v>
      </c>
      <c r="B971" s="7">
        <v>939.31920985098282</v>
      </c>
      <c r="C971" s="7">
        <v>805.98312028013459</v>
      </c>
      <c r="D971" s="7">
        <v>131</v>
      </c>
      <c r="E971" s="7">
        <v>146</v>
      </c>
      <c r="F971" s="7">
        <v>7414.7653429602888</v>
      </c>
      <c r="G971" s="7">
        <v>1864.5498361811231</v>
      </c>
      <c r="H971" s="7">
        <v>1533.9083664653269</v>
      </c>
    </row>
    <row r="972" spans="1:8" x14ac:dyDescent="0.3">
      <c r="A972" s="7">
        <v>969</v>
      </c>
      <c r="B972" s="7">
        <v>630.87033509240462</v>
      </c>
      <c r="C972" s="7">
        <v>402.8781022212732</v>
      </c>
      <c r="D972" s="7">
        <v>128</v>
      </c>
      <c r="E972" s="7">
        <v>146</v>
      </c>
      <c r="F972" s="7">
        <v>3854.4160583941612</v>
      </c>
      <c r="G972" s="7">
        <v>1201.8954983951389</v>
      </c>
      <c r="H972" s="7">
        <v>948.12630292665642</v>
      </c>
    </row>
    <row r="973" spans="1:8" x14ac:dyDescent="0.3">
      <c r="A973" s="7">
        <v>970</v>
      </c>
      <c r="B973" s="7">
        <v>426.99842236383392</v>
      </c>
      <c r="C973" s="7">
        <v>387.91609002745503</v>
      </c>
      <c r="D973" s="7">
        <v>129</v>
      </c>
      <c r="E973" s="7">
        <v>146</v>
      </c>
      <c r="F973" s="7">
        <v>3243.2654545454552</v>
      </c>
      <c r="G973" s="7">
        <v>936.39074531254141</v>
      </c>
      <c r="H973" s="7">
        <v>804.62875384045867</v>
      </c>
    </row>
    <row r="974" spans="1:8" x14ac:dyDescent="0.3">
      <c r="A974" s="7">
        <v>971</v>
      </c>
      <c r="B974" s="7">
        <v>2775.3653871919109</v>
      </c>
      <c r="C974" s="7">
        <v>3341.3001871362749</v>
      </c>
      <c r="D974" s="7">
        <v>121</v>
      </c>
      <c r="E974" s="7">
        <v>138</v>
      </c>
      <c r="F974" s="7">
        <v>8685.463320463321</v>
      </c>
      <c r="G974" s="7">
        <v>4719.515513025246</v>
      </c>
      <c r="H974" s="7">
        <v>4113.7977948729394</v>
      </c>
    </row>
    <row r="975" spans="1:8" x14ac:dyDescent="0.3">
      <c r="A975" s="7">
        <v>972</v>
      </c>
      <c r="B975" s="7">
        <v>653.4669687729687</v>
      </c>
      <c r="C975" s="7">
        <v>363.2424232162823</v>
      </c>
      <c r="D975" s="7">
        <v>130</v>
      </c>
      <c r="E975" s="7">
        <v>146</v>
      </c>
      <c r="F975" s="7">
        <v>3300.43115942029</v>
      </c>
      <c r="G975" s="7">
        <v>1430.2270798722841</v>
      </c>
      <c r="H975" s="7">
        <v>1247.828587960505</v>
      </c>
    </row>
    <row r="976" spans="1:8" x14ac:dyDescent="0.3">
      <c r="A976" s="7">
        <v>973</v>
      </c>
      <c r="B976" s="7">
        <v>985.55783707033777</v>
      </c>
      <c r="C976" s="7">
        <v>659.4811791635766</v>
      </c>
      <c r="D976" s="7">
        <v>129</v>
      </c>
      <c r="E976" s="7">
        <v>146</v>
      </c>
      <c r="F976" s="7">
        <v>7402.0836363636363</v>
      </c>
      <c r="G976" s="7">
        <v>2603.9621569309879</v>
      </c>
      <c r="H976" s="7">
        <v>2210.5431226873352</v>
      </c>
    </row>
    <row r="977" spans="1:8" x14ac:dyDescent="0.3">
      <c r="A977" s="7">
        <v>974</v>
      </c>
      <c r="B977" s="7">
        <v>1296.6699318703841</v>
      </c>
      <c r="C977" s="7">
        <v>1219.75075238352</v>
      </c>
      <c r="D977" s="7">
        <v>128</v>
      </c>
      <c r="E977" s="7">
        <v>146</v>
      </c>
      <c r="F977" s="7">
        <v>12343.98905109489</v>
      </c>
      <c r="G977" s="7">
        <v>2417.582588105834</v>
      </c>
      <c r="H977" s="7">
        <v>2424.7976797397409</v>
      </c>
    </row>
    <row r="978" spans="1:8" x14ac:dyDescent="0.3">
      <c r="A978" s="7">
        <v>975</v>
      </c>
      <c r="B978" s="7">
        <v>1237.4761845823491</v>
      </c>
      <c r="C978" s="7">
        <v>739.53387901276028</v>
      </c>
      <c r="D978" s="7">
        <v>129</v>
      </c>
      <c r="E978" s="7">
        <v>146</v>
      </c>
      <c r="F978" s="7">
        <v>7678.2545454545452</v>
      </c>
      <c r="G978" s="7">
        <v>2549.4590458284661</v>
      </c>
      <c r="H978" s="7">
        <v>2152.2320462305911</v>
      </c>
    </row>
    <row r="979" spans="1:8" x14ac:dyDescent="0.3">
      <c r="A979" s="7">
        <v>976</v>
      </c>
      <c r="B979" s="7">
        <v>931.5553339802899</v>
      </c>
      <c r="C979" s="7">
        <v>508.68521530536901</v>
      </c>
      <c r="D979" s="7">
        <v>129</v>
      </c>
      <c r="E979" s="7">
        <v>146</v>
      </c>
      <c r="F979" s="7">
        <v>7069.3672727272724</v>
      </c>
      <c r="G979" s="7">
        <v>2542.759149629248</v>
      </c>
      <c r="H979" s="7">
        <v>2244.8364189724839</v>
      </c>
    </row>
    <row r="980" spans="1:8" x14ac:dyDescent="0.3">
      <c r="A980" s="7">
        <v>977</v>
      </c>
      <c r="B980" s="7">
        <v>2102.6274267409449</v>
      </c>
      <c r="C980" s="7">
        <v>939.39503750348422</v>
      </c>
      <c r="D980" s="7">
        <v>128</v>
      </c>
      <c r="E980" s="7">
        <v>146</v>
      </c>
      <c r="F980" s="7">
        <v>4626.6569343065694</v>
      </c>
      <c r="G980" s="7">
        <v>2534.7741948248572</v>
      </c>
      <c r="H980" s="7">
        <v>2269.1973642859261</v>
      </c>
    </row>
    <row r="981" spans="1:8" x14ac:dyDescent="0.3">
      <c r="A981" s="7">
        <v>978</v>
      </c>
      <c r="B981" s="7">
        <v>1108.583362490519</v>
      </c>
      <c r="C981" s="7">
        <v>705.85886102738243</v>
      </c>
      <c r="D981" s="7">
        <v>131</v>
      </c>
      <c r="E981" s="7">
        <v>146</v>
      </c>
      <c r="F981" s="7">
        <v>7586.9350180505417</v>
      </c>
      <c r="G981" s="7">
        <v>2652.4361436579779</v>
      </c>
      <c r="H981" s="7">
        <v>2275.013925894455</v>
      </c>
    </row>
    <row r="982" spans="1:8" x14ac:dyDescent="0.3">
      <c r="A982" s="7">
        <v>979</v>
      </c>
      <c r="B982" s="7">
        <v>806.42439191568542</v>
      </c>
      <c r="C982" s="7">
        <v>583.57837276319913</v>
      </c>
      <c r="D982" s="7">
        <v>131</v>
      </c>
      <c r="E982" s="7">
        <v>146</v>
      </c>
      <c r="F982" s="7">
        <v>6677.8339350180504</v>
      </c>
      <c r="G982" s="7">
        <v>2469.520706348495</v>
      </c>
      <c r="H982" s="7">
        <v>2308.2814086769908</v>
      </c>
    </row>
    <row r="983" spans="1:8" x14ac:dyDescent="0.3">
      <c r="A983" s="7">
        <v>980</v>
      </c>
      <c r="B983" s="7">
        <v>1172.420071529609</v>
      </c>
      <c r="C983" s="7">
        <v>755.20174134632282</v>
      </c>
      <c r="D983" s="7">
        <v>129</v>
      </c>
      <c r="E983" s="7">
        <v>146</v>
      </c>
      <c r="F983" s="7">
        <v>6934.9418181818182</v>
      </c>
      <c r="G983" s="7">
        <v>2346.626708059197</v>
      </c>
      <c r="H983" s="7">
        <v>2107.9128075206499</v>
      </c>
    </row>
    <row r="984" spans="1:8" x14ac:dyDescent="0.3">
      <c r="A984" s="7">
        <v>981</v>
      </c>
      <c r="B984" s="7">
        <v>1174.899140049444</v>
      </c>
      <c r="C984" s="7">
        <v>775.77327489402319</v>
      </c>
      <c r="D984" s="7">
        <v>130</v>
      </c>
      <c r="E984" s="7">
        <v>146</v>
      </c>
      <c r="F984" s="7">
        <v>7510.554347826087</v>
      </c>
      <c r="G984" s="7">
        <v>2631.4580222904801</v>
      </c>
      <c r="H984" s="7">
        <v>2428.7663648022049</v>
      </c>
    </row>
    <row r="985" spans="1:8" x14ac:dyDescent="0.3">
      <c r="A985" s="7">
        <v>982</v>
      </c>
      <c r="B985" s="7">
        <v>1366.615179287694</v>
      </c>
      <c r="C985" s="7">
        <v>716.39892016466285</v>
      </c>
      <c r="D985" s="7">
        <v>131</v>
      </c>
      <c r="E985" s="7">
        <v>146</v>
      </c>
      <c r="F985" s="7">
        <v>8228.4296028880872</v>
      </c>
      <c r="G985" s="7">
        <v>3120.2674564851009</v>
      </c>
      <c r="H985" s="7">
        <v>2830.388565463556</v>
      </c>
    </row>
    <row r="986" spans="1:8" x14ac:dyDescent="0.3">
      <c r="A986" s="7">
        <v>983</v>
      </c>
      <c r="B986" s="7">
        <v>997.13964321535343</v>
      </c>
      <c r="C986" s="7">
        <v>813.34512332846668</v>
      </c>
      <c r="D986" s="7">
        <v>129</v>
      </c>
      <c r="E986" s="7">
        <v>146</v>
      </c>
      <c r="F986" s="7">
        <v>8681.7490909090902</v>
      </c>
      <c r="G986" s="7">
        <v>3085.0131569078558</v>
      </c>
      <c r="H986" s="7">
        <v>2856.3384394749019</v>
      </c>
    </row>
    <row r="987" spans="1:8" x14ac:dyDescent="0.3">
      <c r="A987" s="7">
        <v>984</v>
      </c>
      <c r="B987" s="7">
        <v>990.56121787713005</v>
      </c>
      <c r="C987" s="7">
        <v>757.09880967797176</v>
      </c>
      <c r="D987" s="7">
        <v>127</v>
      </c>
      <c r="E987" s="7">
        <v>146</v>
      </c>
      <c r="F987" s="7">
        <v>6429.5641025641035</v>
      </c>
      <c r="G987" s="7">
        <v>2653.1756354896502</v>
      </c>
      <c r="H987" s="7">
        <v>2417.088009404184</v>
      </c>
    </row>
    <row r="988" spans="1:8" x14ac:dyDescent="0.3">
      <c r="A988" s="7">
        <v>985</v>
      </c>
      <c r="B988" s="7">
        <v>1389.8367018407309</v>
      </c>
      <c r="C988" s="7">
        <v>1077.0743878476219</v>
      </c>
      <c r="D988" s="7">
        <v>128</v>
      </c>
      <c r="E988" s="7">
        <v>146</v>
      </c>
      <c r="F988" s="7">
        <v>8612.5802919708021</v>
      </c>
      <c r="G988" s="7">
        <v>2825.6346977825178</v>
      </c>
      <c r="H988" s="7">
        <v>2750.5584924789259</v>
      </c>
    </row>
    <row r="989" spans="1:8" x14ac:dyDescent="0.3">
      <c r="A989" s="7">
        <v>986</v>
      </c>
      <c r="B989" s="7">
        <v>757.96436713113212</v>
      </c>
      <c r="C989" s="7">
        <v>498.91671086464282</v>
      </c>
      <c r="D989" s="7">
        <v>129</v>
      </c>
      <c r="E989" s="7">
        <v>146</v>
      </c>
      <c r="F989" s="7">
        <v>5093.9054545454546</v>
      </c>
      <c r="G989" s="7">
        <v>1887.0388250197141</v>
      </c>
      <c r="H989" s="7">
        <v>1640.969384402995</v>
      </c>
    </row>
    <row r="990" spans="1:8" x14ac:dyDescent="0.3">
      <c r="A990" s="7">
        <v>987</v>
      </c>
      <c r="B990" s="7">
        <v>1065.150780108394</v>
      </c>
      <c r="C990" s="7">
        <v>762.7395179263242</v>
      </c>
      <c r="D990" s="7">
        <v>131</v>
      </c>
      <c r="E990" s="7">
        <v>146</v>
      </c>
      <c r="F990" s="7">
        <v>6841.3429602888091</v>
      </c>
      <c r="G990" s="7">
        <v>2152.7835079406082</v>
      </c>
      <c r="H990" s="7">
        <v>1815.966462185032</v>
      </c>
    </row>
    <row r="991" spans="1:8" x14ac:dyDescent="0.3">
      <c r="A991" s="7">
        <v>988</v>
      </c>
      <c r="B991" s="7">
        <v>703.72352003048661</v>
      </c>
      <c r="C991" s="7">
        <v>668.05921971007058</v>
      </c>
      <c r="D991" s="7">
        <v>131</v>
      </c>
      <c r="E991" s="7">
        <v>146</v>
      </c>
      <c r="F991" s="7">
        <v>4499.584837545126</v>
      </c>
      <c r="G991" s="7">
        <v>1138.346993610734</v>
      </c>
      <c r="H991" s="7">
        <v>1145.564803569873</v>
      </c>
    </row>
    <row r="992" spans="1:8" x14ac:dyDescent="0.3">
      <c r="A992" s="7">
        <v>989</v>
      </c>
      <c r="B992" s="7">
        <v>2027.1235391712171</v>
      </c>
      <c r="C992" s="7">
        <v>1005.082282594426</v>
      </c>
      <c r="D992" s="7">
        <v>128</v>
      </c>
      <c r="E992" s="7">
        <v>146</v>
      </c>
      <c r="F992" s="7">
        <v>5338.9233576642337</v>
      </c>
      <c r="G992" s="7">
        <v>1489.9334533167921</v>
      </c>
      <c r="H992" s="7">
        <v>1446.055951569127</v>
      </c>
    </row>
    <row r="993" spans="1:8" x14ac:dyDescent="0.3">
      <c r="A993" s="7">
        <v>990</v>
      </c>
      <c r="B993" s="7">
        <v>1064.8074255831179</v>
      </c>
      <c r="C993" s="7">
        <v>618.94730803017683</v>
      </c>
      <c r="D993" s="7">
        <v>131</v>
      </c>
      <c r="E993" s="7">
        <v>146</v>
      </c>
      <c r="F993" s="7">
        <v>6376.0758122743682</v>
      </c>
      <c r="G993" s="7">
        <v>2352.866521974634</v>
      </c>
      <c r="H993" s="7">
        <v>2109.885387720165</v>
      </c>
    </row>
    <row r="994" spans="1:8" x14ac:dyDescent="0.3">
      <c r="A994" s="7">
        <v>991</v>
      </c>
      <c r="B994" s="7">
        <v>977.86781341272444</v>
      </c>
      <c r="C994" s="7">
        <v>702.67587977314645</v>
      </c>
      <c r="D994" s="7">
        <v>129</v>
      </c>
      <c r="E994" s="7">
        <v>146</v>
      </c>
      <c r="F994" s="7">
        <v>5988.4836363636359</v>
      </c>
      <c r="G994" s="7">
        <v>1849.6833187994539</v>
      </c>
      <c r="H994" s="7">
        <v>1622.3918394832731</v>
      </c>
    </row>
    <row r="995" spans="1:8" x14ac:dyDescent="0.3">
      <c r="A995" s="7">
        <v>992</v>
      </c>
      <c r="B995" s="7">
        <v>937.46232117501813</v>
      </c>
      <c r="C995" s="7">
        <v>543.22597067229128</v>
      </c>
      <c r="D995" s="7">
        <v>129</v>
      </c>
      <c r="E995" s="7">
        <v>146</v>
      </c>
      <c r="F995" s="7">
        <v>5659.5163636363641</v>
      </c>
      <c r="G995" s="7">
        <v>1650.299350341154</v>
      </c>
      <c r="H995" s="7">
        <v>1265.5809105291889</v>
      </c>
    </row>
    <row r="996" spans="1:8" x14ac:dyDescent="0.3">
      <c r="A996" s="7">
        <v>993</v>
      </c>
      <c r="B996" s="7">
        <v>1341.265182994912</v>
      </c>
      <c r="C996" s="7">
        <v>752.89129814282705</v>
      </c>
      <c r="D996" s="7">
        <v>131</v>
      </c>
      <c r="E996" s="7">
        <v>146</v>
      </c>
      <c r="F996" s="7">
        <v>7825.5306859205784</v>
      </c>
      <c r="G996" s="7">
        <v>2823.0778612512659</v>
      </c>
      <c r="H996" s="7">
        <v>2468.981844671011</v>
      </c>
    </row>
    <row r="997" spans="1:8" x14ac:dyDescent="0.3">
      <c r="A997" s="7">
        <v>994</v>
      </c>
      <c r="B997" s="7">
        <v>735.28540044538556</v>
      </c>
      <c r="C997" s="7">
        <v>380.0453729854072</v>
      </c>
      <c r="D997" s="7">
        <v>129</v>
      </c>
      <c r="E997" s="7">
        <v>146</v>
      </c>
      <c r="F997" s="7">
        <v>5061.5490909090913</v>
      </c>
      <c r="G997" s="7">
        <v>2033.405205236322</v>
      </c>
      <c r="H997" s="7">
        <v>1826.549749199668</v>
      </c>
    </row>
    <row r="998" spans="1:8" x14ac:dyDescent="0.3">
      <c r="A998" s="7">
        <v>995</v>
      </c>
      <c r="B998" s="7">
        <v>1250.203688314944</v>
      </c>
      <c r="C998" s="7">
        <v>687.33167452618977</v>
      </c>
      <c r="D998" s="7">
        <v>131</v>
      </c>
      <c r="E998" s="7">
        <v>146</v>
      </c>
      <c r="F998" s="7">
        <v>9682.6967509025271</v>
      </c>
      <c r="G998" s="7">
        <v>2788.8238019769701</v>
      </c>
      <c r="H998" s="7">
        <v>2442.27776992697</v>
      </c>
    </row>
    <row r="999" spans="1:8" x14ac:dyDescent="0.3">
      <c r="A999" s="7">
        <v>996</v>
      </c>
      <c r="B999" s="7">
        <v>1158.0404949854101</v>
      </c>
      <c r="C999" s="7">
        <v>642.21276889726016</v>
      </c>
      <c r="D999" s="7">
        <v>131</v>
      </c>
      <c r="E999" s="7">
        <v>146</v>
      </c>
      <c r="F999" s="7">
        <v>7160.3321299638992</v>
      </c>
      <c r="G999" s="7">
        <v>2836.9855642218299</v>
      </c>
      <c r="H999" s="7">
        <v>2500.1779553102169</v>
      </c>
    </row>
    <row r="1000" spans="1:8" x14ac:dyDescent="0.3">
      <c r="A1000" s="7">
        <v>997</v>
      </c>
      <c r="B1000" s="7">
        <v>854.95221662921733</v>
      </c>
      <c r="C1000" s="7">
        <v>566.80944799108829</v>
      </c>
      <c r="D1000" s="7">
        <v>129</v>
      </c>
      <c r="E1000" s="7">
        <v>146</v>
      </c>
      <c r="F1000" s="7">
        <v>5098.96</v>
      </c>
      <c r="G1000" s="7">
        <v>2247.3970283643198</v>
      </c>
      <c r="H1000" s="7">
        <v>1967.9959767193529</v>
      </c>
    </row>
    <row r="1001" spans="1:8" x14ac:dyDescent="0.3">
      <c r="A1001" s="7">
        <v>998</v>
      </c>
      <c r="B1001" s="7">
        <v>679.24627516643636</v>
      </c>
      <c r="C1001" s="7">
        <v>363.09074363241427</v>
      </c>
      <c r="D1001" s="7">
        <v>128</v>
      </c>
      <c r="E1001" s="7">
        <v>146</v>
      </c>
      <c r="F1001" s="7">
        <v>4463.6277372262784</v>
      </c>
      <c r="G1001" s="7">
        <v>1245.4937368118319</v>
      </c>
      <c r="H1001" s="7">
        <v>1015.927698727176</v>
      </c>
    </row>
    <row r="1002" spans="1:8" x14ac:dyDescent="0.3">
      <c r="A1002" s="7">
        <v>999</v>
      </c>
      <c r="B1002" s="7">
        <v>1506.4320415255479</v>
      </c>
      <c r="C1002" s="7">
        <v>686.44218842596911</v>
      </c>
      <c r="D1002" s="7">
        <v>131</v>
      </c>
      <c r="E1002" s="7">
        <v>146</v>
      </c>
      <c r="F1002" s="7">
        <v>9144.1155234657035</v>
      </c>
      <c r="G1002" s="7">
        <v>3702.6899227618478</v>
      </c>
      <c r="H1002" s="7">
        <v>3241.7940439342642</v>
      </c>
    </row>
    <row r="1003" spans="1:8" x14ac:dyDescent="0.3">
      <c r="A1003" s="7">
        <v>1000</v>
      </c>
      <c r="B1003" s="7">
        <v>1988.935701358195</v>
      </c>
      <c r="C1003" s="7">
        <v>983.44803843626016</v>
      </c>
      <c r="D1003" s="7">
        <v>128</v>
      </c>
      <c r="E1003" s="7">
        <v>146</v>
      </c>
      <c r="F1003" s="7">
        <v>7402.1970802919705</v>
      </c>
      <c r="G1003" s="7">
        <v>1628.883426998384</v>
      </c>
      <c r="H1003" s="7">
        <v>1596.9347114402451</v>
      </c>
    </row>
    <row r="1004" spans="1:8" x14ac:dyDescent="0.3">
      <c r="A1004" s="7">
        <v>1001</v>
      </c>
      <c r="B1004" s="7">
        <v>903.61287490434938</v>
      </c>
      <c r="C1004" s="7">
        <v>498.09744769218793</v>
      </c>
      <c r="D1004" s="7">
        <v>131</v>
      </c>
      <c r="E1004" s="7">
        <v>146</v>
      </c>
      <c r="F1004" s="7">
        <v>5826.6137184115523</v>
      </c>
      <c r="G1004" s="7">
        <v>2290.903940062834</v>
      </c>
      <c r="H1004" s="7">
        <v>2026.2304666818111</v>
      </c>
    </row>
    <row r="1005" spans="1:8" x14ac:dyDescent="0.3">
      <c r="A1005" s="7">
        <v>1002</v>
      </c>
      <c r="B1005" s="7">
        <v>1040.5122057725459</v>
      </c>
      <c r="C1005" s="7">
        <v>667.2748124313398</v>
      </c>
      <c r="D1005" s="7">
        <v>131</v>
      </c>
      <c r="E1005" s="7">
        <v>146</v>
      </c>
      <c r="F1005" s="7">
        <v>6574.7111913357403</v>
      </c>
      <c r="G1005" s="7">
        <v>2148.241123259706</v>
      </c>
      <c r="H1005" s="7">
        <v>1869.4359525862119</v>
      </c>
    </row>
    <row r="1006" spans="1:8" x14ac:dyDescent="0.3">
      <c r="A1006" s="7">
        <v>1003</v>
      </c>
      <c r="B1006" s="7">
        <v>1472.6636245241259</v>
      </c>
      <c r="C1006" s="7">
        <v>717.88971034969654</v>
      </c>
      <c r="D1006" s="7">
        <v>129</v>
      </c>
      <c r="E1006" s="7">
        <v>146</v>
      </c>
      <c r="F1006" s="7">
        <v>7208.9963636363636</v>
      </c>
      <c r="G1006" s="7">
        <v>3048.7258566222731</v>
      </c>
      <c r="H1006" s="7">
        <v>2601.8580334113922</v>
      </c>
    </row>
    <row r="1007" spans="1:8" x14ac:dyDescent="0.3">
      <c r="A1007" s="7">
        <v>1004</v>
      </c>
      <c r="B1007" s="7">
        <v>2421.3269831453681</v>
      </c>
      <c r="C1007" s="7">
        <v>1081.704115136507</v>
      </c>
      <c r="D1007" s="7">
        <v>128</v>
      </c>
      <c r="E1007" s="7">
        <v>146</v>
      </c>
      <c r="F1007" s="7">
        <v>5667.6861313868612</v>
      </c>
      <c r="G1007" s="7">
        <v>2351.8220363422479</v>
      </c>
      <c r="H1007" s="7">
        <v>2089.985619666068</v>
      </c>
    </row>
    <row r="1008" spans="1:8" x14ac:dyDescent="0.3">
      <c r="A1008" s="7">
        <v>1005</v>
      </c>
      <c r="B1008" s="7">
        <v>747.44527529356435</v>
      </c>
      <c r="C1008" s="7">
        <v>569.90620171594367</v>
      </c>
      <c r="D1008" s="7">
        <v>129</v>
      </c>
      <c r="E1008" s="7">
        <v>146</v>
      </c>
      <c r="F1008" s="7">
        <v>6256.9454545454546</v>
      </c>
      <c r="G1008" s="7">
        <v>1583.8389849452999</v>
      </c>
      <c r="H1008" s="7">
        <v>1434.3873089423209</v>
      </c>
    </row>
    <row r="1009" spans="1:8" x14ac:dyDescent="0.3">
      <c r="A1009" s="7">
        <v>1006</v>
      </c>
      <c r="B1009" s="7">
        <v>936.29270514298639</v>
      </c>
      <c r="C1009" s="7">
        <v>585.07141271616217</v>
      </c>
      <c r="D1009" s="7">
        <v>130</v>
      </c>
      <c r="E1009" s="7">
        <v>146</v>
      </c>
      <c r="F1009" s="7">
        <v>6904.021739130435</v>
      </c>
      <c r="G1009" s="7">
        <v>2361.4413883832121</v>
      </c>
      <c r="H1009" s="7">
        <v>2057.3764264893221</v>
      </c>
    </row>
    <row r="1010" spans="1:8" x14ac:dyDescent="0.3">
      <c r="A1010" s="7">
        <v>1007</v>
      </c>
      <c r="B1010" s="7">
        <v>1199.983920342173</v>
      </c>
      <c r="C1010" s="7">
        <v>846.04329296417268</v>
      </c>
      <c r="D1010" s="7">
        <v>131</v>
      </c>
      <c r="E1010" s="7">
        <v>146</v>
      </c>
      <c r="F1010" s="7">
        <v>7249.7689530685921</v>
      </c>
      <c r="G1010" s="7">
        <v>2616.0352613352939</v>
      </c>
      <c r="H1010" s="7">
        <v>2420.181209959514</v>
      </c>
    </row>
    <row r="1011" spans="1:8" x14ac:dyDescent="0.3">
      <c r="A1011" s="7">
        <v>1008</v>
      </c>
      <c r="B1011" s="7">
        <v>888.49880558141638</v>
      </c>
      <c r="C1011" s="7">
        <v>444.61719179439899</v>
      </c>
      <c r="D1011" s="7">
        <v>131</v>
      </c>
      <c r="E1011" s="7">
        <v>146</v>
      </c>
      <c r="F1011" s="7">
        <v>5498.7364620938624</v>
      </c>
      <c r="G1011" s="7">
        <v>1965.860643255847</v>
      </c>
      <c r="H1011" s="7">
        <v>1779.096278590102</v>
      </c>
    </row>
    <row r="1012" spans="1:8" x14ac:dyDescent="0.3">
      <c r="A1012" s="7">
        <v>1009</v>
      </c>
      <c r="B1012" s="7">
        <v>2152.7252639536978</v>
      </c>
      <c r="C1012" s="7">
        <v>889.71082570022384</v>
      </c>
      <c r="D1012" s="7">
        <v>128</v>
      </c>
      <c r="E1012" s="7">
        <v>146</v>
      </c>
      <c r="F1012" s="7">
        <v>4832.7262773722632</v>
      </c>
      <c r="G1012" s="7">
        <v>1032.436336566328</v>
      </c>
      <c r="H1012" s="7">
        <v>1015.469464275865</v>
      </c>
    </row>
    <row r="1013" spans="1:8" x14ac:dyDescent="0.3">
      <c r="A1013" s="7">
        <v>1010</v>
      </c>
      <c r="B1013" s="7">
        <v>1739.5112256663931</v>
      </c>
      <c r="C1013" s="7">
        <v>891.26400845884677</v>
      </c>
      <c r="D1013" s="7">
        <v>131</v>
      </c>
      <c r="E1013" s="7">
        <v>146</v>
      </c>
      <c r="F1013" s="7">
        <v>9334.8808664259923</v>
      </c>
      <c r="G1013" s="7">
        <v>3612.227342519544</v>
      </c>
      <c r="H1013" s="7">
        <v>2990.12380167027</v>
      </c>
    </row>
    <row r="1014" spans="1:8" x14ac:dyDescent="0.3">
      <c r="A1014" s="7">
        <v>1011</v>
      </c>
      <c r="B1014" s="7">
        <v>1351.6638891662701</v>
      </c>
      <c r="C1014" s="7">
        <v>769.41734162435444</v>
      </c>
      <c r="D1014" s="7">
        <v>129</v>
      </c>
      <c r="E1014" s="7">
        <v>146</v>
      </c>
      <c r="F1014" s="7">
        <v>7176.8654545454547</v>
      </c>
      <c r="G1014" s="7">
        <v>2366.17381591712</v>
      </c>
      <c r="H1014" s="7">
        <v>1938.470737816247</v>
      </c>
    </row>
    <row r="1015" spans="1:8" x14ac:dyDescent="0.3">
      <c r="A1015" s="7">
        <v>1012</v>
      </c>
      <c r="B1015" s="7">
        <v>2240.7245924392059</v>
      </c>
      <c r="C1015" s="7">
        <v>1033.7024858407069</v>
      </c>
      <c r="D1015" s="7">
        <v>128</v>
      </c>
      <c r="E1015" s="7">
        <v>146</v>
      </c>
      <c r="F1015" s="7">
        <v>6049</v>
      </c>
      <c r="G1015" s="7">
        <v>1839.1446508839369</v>
      </c>
      <c r="H1015" s="7">
        <v>1632.2094299714331</v>
      </c>
    </row>
    <row r="1016" spans="1:8" x14ac:dyDescent="0.3">
      <c r="A1016" s="7">
        <v>1013</v>
      </c>
      <c r="B1016" s="7">
        <v>723.67692542166424</v>
      </c>
      <c r="C1016" s="7">
        <v>393.47560526818842</v>
      </c>
      <c r="D1016" s="7">
        <v>129</v>
      </c>
      <c r="E1016" s="7">
        <v>146</v>
      </c>
      <c r="F1016" s="7">
        <v>3872.014545454545</v>
      </c>
      <c r="G1016" s="7">
        <v>1415.38042931571</v>
      </c>
      <c r="H1016" s="7">
        <v>1135.430878927431</v>
      </c>
    </row>
    <row r="1017" spans="1:8" x14ac:dyDescent="0.3">
      <c r="A1017" s="7">
        <v>1014</v>
      </c>
      <c r="B1017" s="7">
        <v>2005.075275356754</v>
      </c>
      <c r="C1017" s="7">
        <v>1302.8294887521199</v>
      </c>
      <c r="D1017" s="7">
        <v>129</v>
      </c>
      <c r="E1017" s="7">
        <v>146</v>
      </c>
      <c r="F1017" s="7">
        <v>11622.05818181818</v>
      </c>
      <c r="G1017" s="7">
        <v>4322.0750076893646</v>
      </c>
      <c r="H1017" s="7">
        <v>3730.9012793377929</v>
      </c>
    </row>
    <row r="1018" spans="1:8" x14ac:dyDescent="0.3">
      <c r="A1018" s="7">
        <v>1015</v>
      </c>
      <c r="B1018" s="7">
        <v>1000.540487241825</v>
      </c>
      <c r="C1018" s="7">
        <v>644.88656065449925</v>
      </c>
      <c r="D1018" s="7">
        <v>129</v>
      </c>
      <c r="E1018" s="7">
        <v>146</v>
      </c>
      <c r="F1018" s="7">
        <v>6185.1890909090907</v>
      </c>
      <c r="G1018" s="7">
        <v>2073.376121844673</v>
      </c>
      <c r="H1018" s="7">
        <v>1727.0514504000071</v>
      </c>
    </row>
    <row r="1019" spans="1:8" x14ac:dyDescent="0.3">
      <c r="A1019" s="7">
        <v>1016</v>
      </c>
      <c r="B1019" s="7">
        <v>1025.0921306434741</v>
      </c>
      <c r="C1019" s="7">
        <v>706.21306169594868</v>
      </c>
      <c r="D1019" s="7">
        <v>129</v>
      </c>
      <c r="E1019" s="7">
        <v>146</v>
      </c>
      <c r="F1019" s="7">
        <v>5720.8109090909093</v>
      </c>
      <c r="G1019" s="7">
        <v>2535.8965908293349</v>
      </c>
      <c r="H1019" s="7">
        <v>2338.3511665449628</v>
      </c>
    </row>
    <row r="1020" spans="1:8" x14ac:dyDescent="0.3">
      <c r="A1020" s="7">
        <v>1017</v>
      </c>
      <c r="B1020" s="7">
        <v>895.99026109286115</v>
      </c>
      <c r="C1020" s="7">
        <v>706.08610399050951</v>
      </c>
      <c r="D1020" s="7">
        <v>131</v>
      </c>
      <c r="E1020" s="7">
        <v>146</v>
      </c>
      <c r="F1020" s="7">
        <v>6964.5776173285194</v>
      </c>
      <c r="G1020" s="7">
        <v>1743.683934697495</v>
      </c>
      <c r="H1020" s="7">
        <v>1564.3261865123329</v>
      </c>
    </row>
    <row r="1021" spans="1:8" x14ac:dyDescent="0.3">
      <c r="A1021" s="7">
        <v>1018</v>
      </c>
      <c r="B1021" s="7">
        <v>1690.359064360817</v>
      </c>
      <c r="C1021" s="7">
        <v>1099.159372414053</v>
      </c>
      <c r="D1021" s="7">
        <v>129</v>
      </c>
      <c r="E1021" s="7">
        <v>144</v>
      </c>
      <c r="F1021" s="7">
        <v>11444.765567765569</v>
      </c>
      <c r="G1021" s="7">
        <v>3745.391449305017</v>
      </c>
      <c r="H1021" s="7">
        <v>3127.0024784128332</v>
      </c>
    </row>
    <row r="1022" spans="1:8" x14ac:dyDescent="0.3">
      <c r="A1022" s="7">
        <v>1019</v>
      </c>
      <c r="B1022" s="7">
        <v>1624.3898448675459</v>
      </c>
      <c r="C1022" s="7">
        <v>971.13002615557843</v>
      </c>
      <c r="D1022" s="7">
        <v>128</v>
      </c>
      <c r="E1022" s="7">
        <v>146</v>
      </c>
      <c r="F1022" s="7">
        <v>8853.9562043795613</v>
      </c>
      <c r="G1022" s="7">
        <v>4464.3549374811701</v>
      </c>
      <c r="H1022" s="7">
        <v>3801.9179451487162</v>
      </c>
    </row>
    <row r="1023" spans="1:8" x14ac:dyDescent="0.3">
      <c r="A1023" s="7">
        <v>1020</v>
      </c>
      <c r="B1023" s="7">
        <v>982.32844299437295</v>
      </c>
      <c r="C1023" s="7">
        <v>706.47469669918951</v>
      </c>
      <c r="D1023" s="7">
        <v>129</v>
      </c>
      <c r="E1023" s="7">
        <v>146</v>
      </c>
      <c r="F1023" s="7">
        <v>8792.3563636363633</v>
      </c>
      <c r="G1023" s="7">
        <v>2262.2202837926952</v>
      </c>
      <c r="H1023" s="7">
        <v>2009.656971683381</v>
      </c>
    </row>
    <row r="1024" spans="1:8" x14ac:dyDescent="0.3">
      <c r="A1024" s="7">
        <v>1021</v>
      </c>
      <c r="B1024" s="7">
        <v>810.43813821284948</v>
      </c>
      <c r="C1024" s="7">
        <v>766.17253000334517</v>
      </c>
      <c r="D1024" s="7">
        <v>131</v>
      </c>
      <c r="E1024" s="7">
        <v>146</v>
      </c>
      <c r="F1024" s="7">
        <v>9206.0685920577616</v>
      </c>
      <c r="G1024" s="7">
        <v>1736.094722501103</v>
      </c>
      <c r="H1024" s="7">
        <v>1539.876409379787</v>
      </c>
    </row>
    <row r="1025" spans="1:8" x14ac:dyDescent="0.3">
      <c r="A1025" s="7">
        <v>1022</v>
      </c>
      <c r="B1025" s="7">
        <v>1003.261861914378</v>
      </c>
      <c r="C1025" s="7">
        <v>734.3373655597444</v>
      </c>
      <c r="D1025" s="7">
        <v>129</v>
      </c>
      <c r="E1025" s="7">
        <v>146</v>
      </c>
      <c r="F1025" s="7">
        <v>7684.5927272727276</v>
      </c>
      <c r="G1025" s="7">
        <v>2800.6962257333821</v>
      </c>
      <c r="H1025" s="7">
        <v>2606.7608357489421</v>
      </c>
    </row>
    <row r="1026" spans="1:8" x14ac:dyDescent="0.3">
      <c r="A1026" s="7">
        <v>1023</v>
      </c>
      <c r="B1026" s="7">
        <v>1173.900878314543</v>
      </c>
      <c r="C1026" s="7">
        <v>667.89580638000791</v>
      </c>
      <c r="D1026" s="7">
        <v>131</v>
      </c>
      <c r="E1026" s="7">
        <v>146</v>
      </c>
      <c r="F1026" s="7">
        <v>5772.1299638989167</v>
      </c>
      <c r="G1026" s="7">
        <v>2209.9007127709028</v>
      </c>
      <c r="H1026" s="7">
        <v>1995.83294315589</v>
      </c>
    </row>
    <row r="1027" spans="1:8" x14ac:dyDescent="0.3">
      <c r="A1027" s="7">
        <v>1024</v>
      </c>
      <c r="B1027" s="7">
        <v>960.65756929416955</v>
      </c>
      <c r="C1027" s="7">
        <v>603.72332136336354</v>
      </c>
      <c r="D1027" s="7">
        <v>131</v>
      </c>
      <c r="E1027" s="7">
        <v>146</v>
      </c>
      <c r="F1027" s="7">
        <v>6172.0758122743682</v>
      </c>
      <c r="G1027" s="7">
        <v>1878.3356100873291</v>
      </c>
      <c r="H1027" s="7">
        <v>1700.4192593399571</v>
      </c>
    </row>
    <row r="1028" spans="1:8" x14ac:dyDescent="0.3">
      <c r="A1028" s="7">
        <v>1025</v>
      </c>
      <c r="B1028" s="7">
        <v>803.22412137221932</v>
      </c>
      <c r="C1028" s="7">
        <v>654.96327818373265</v>
      </c>
      <c r="D1028" s="7">
        <v>127</v>
      </c>
      <c r="E1028" s="7">
        <v>146</v>
      </c>
      <c r="F1028" s="7">
        <v>7447.6263736263736</v>
      </c>
      <c r="G1028" s="7">
        <v>1729.9439957254269</v>
      </c>
      <c r="H1028" s="7">
        <v>1483.864135954705</v>
      </c>
    </row>
    <row r="1029" spans="1:8" x14ac:dyDescent="0.3">
      <c r="A1029" s="7">
        <v>1026</v>
      </c>
      <c r="B1029" s="7">
        <v>1283.2820850540511</v>
      </c>
      <c r="C1029" s="7">
        <v>1143.023324046057</v>
      </c>
      <c r="D1029" s="7">
        <v>129</v>
      </c>
      <c r="E1029" s="7">
        <v>146</v>
      </c>
      <c r="F1029" s="7">
        <v>9685.0290909090909</v>
      </c>
      <c r="G1029" s="7">
        <v>3624.612491450403</v>
      </c>
      <c r="H1029" s="7">
        <v>3350.926955172868</v>
      </c>
    </row>
    <row r="1030" spans="1:8" x14ac:dyDescent="0.3">
      <c r="A1030" s="7">
        <v>1027</v>
      </c>
      <c r="B1030" s="7">
        <v>1792.505775356577</v>
      </c>
      <c r="C1030" s="7">
        <v>1215.567027152483</v>
      </c>
      <c r="D1030" s="7">
        <v>128</v>
      </c>
      <c r="E1030" s="7">
        <v>146</v>
      </c>
      <c r="F1030" s="7">
        <v>13266.82846715328</v>
      </c>
      <c r="G1030" s="7">
        <v>5536.8449704287823</v>
      </c>
      <c r="H1030" s="7">
        <v>5148.1055652500854</v>
      </c>
    </row>
    <row r="1031" spans="1:8" x14ac:dyDescent="0.3">
      <c r="A1031" s="7">
        <v>1028</v>
      </c>
      <c r="B1031" s="7">
        <v>854.71874302601623</v>
      </c>
      <c r="C1031" s="7">
        <v>546.34580954570663</v>
      </c>
      <c r="D1031" s="7">
        <v>129</v>
      </c>
      <c r="E1031" s="7">
        <v>146</v>
      </c>
      <c r="F1031" s="7">
        <v>5088.4181818181814</v>
      </c>
      <c r="G1031" s="7">
        <v>2316.915896470528</v>
      </c>
      <c r="H1031" s="7">
        <v>2067.0142055698111</v>
      </c>
    </row>
    <row r="1032" spans="1:8" x14ac:dyDescent="0.3">
      <c r="A1032" s="7">
        <v>1029</v>
      </c>
      <c r="B1032" s="7">
        <v>720.14553469408327</v>
      </c>
      <c r="C1032" s="7">
        <v>802.31571175172633</v>
      </c>
      <c r="D1032" s="7">
        <v>130</v>
      </c>
      <c r="E1032" s="7">
        <v>146</v>
      </c>
      <c r="F1032" s="7">
        <v>5616.43115942029</v>
      </c>
      <c r="G1032" s="7">
        <v>1556.3216816979309</v>
      </c>
      <c r="H1032" s="7">
        <v>1193.083101745739</v>
      </c>
    </row>
    <row r="1033" spans="1:8" x14ac:dyDescent="0.3">
      <c r="A1033" s="7">
        <v>1030</v>
      </c>
      <c r="B1033" s="7">
        <v>625.8586196746212</v>
      </c>
      <c r="C1033" s="7">
        <v>352.99321378358832</v>
      </c>
      <c r="D1033" s="7">
        <v>130</v>
      </c>
      <c r="E1033" s="7">
        <v>146</v>
      </c>
      <c r="F1033" s="7">
        <v>3556.557971014493</v>
      </c>
      <c r="G1033" s="7">
        <v>1469.356824234017</v>
      </c>
      <c r="H1033" s="7">
        <v>1245.0329257900651</v>
      </c>
    </row>
    <row r="1034" spans="1:8" x14ac:dyDescent="0.3">
      <c r="A1034" s="7">
        <v>1031</v>
      </c>
      <c r="B1034" s="7">
        <v>880.32416458333262</v>
      </c>
      <c r="C1034" s="7">
        <v>566.35390758941401</v>
      </c>
      <c r="D1034" s="7">
        <v>129</v>
      </c>
      <c r="E1034" s="7">
        <v>146</v>
      </c>
      <c r="F1034" s="7">
        <v>4923.6618181818176</v>
      </c>
      <c r="G1034" s="7">
        <v>2064.8181799565468</v>
      </c>
      <c r="H1034" s="7">
        <v>1897.0922143804751</v>
      </c>
    </row>
    <row r="1035" spans="1:8" x14ac:dyDescent="0.3">
      <c r="A1035" s="7">
        <v>1032</v>
      </c>
      <c r="B1035" s="7">
        <v>1244.722188782999</v>
      </c>
      <c r="C1035" s="7">
        <v>913.39819753252004</v>
      </c>
      <c r="D1035" s="7">
        <v>130</v>
      </c>
      <c r="E1035" s="7">
        <v>146</v>
      </c>
      <c r="F1035" s="7">
        <v>9243.4746376811599</v>
      </c>
      <c r="G1035" s="7">
        <v>3288.586435864785</v>
      </c>
      <c r="H1035" s="7">
        <v>2809.66016811179</v>
      </c>
    </row>
    <row r="1036" spans="1:8" x14ac:dyDescent="0.3">
      <c r="A1036" s="7">
        <v>1033</v>
      </c>
      <c r="B1036" s="7">
        <v>1534.540129666698</v>
      </c>
      <c r="C1036" s="7">
        <v>1078.4330572934091</v>
      </c>
      <c r="D1036" s="7">
        <v>131</v>
      </c>
      <c r="E1036" s="7">
        <v>146</v>
      </c>
      <c r="F1036" s="7">
        <v>14248.646209386279</v>
      </c>
      <c r="G1036" s="7">
        <v>3874.6023169486461</v>
      </c>
      <c r="H1036" s="7">
        <v>3443.8575307031542</v>
      </c>
    </row>
    <row r="1037" spans="1:8" x14ac:dyDescent="0.3">
      <c r="A1037" s="7">
        <v>1034</v>
      </c>
      <c r="B1037" s="7">
        <v>1022.431648563179</v>
      </c>
      <c r="C1037" s="7">
        <v>544.03864390428589</v>
      </c>
      <c r="D1037" s="7">
        <v>131</v>
      </c>
      <c r="E1037" s="7">
        <v>146</v>
      </c>
      <c r="F1037" s="7">
        <v>6542.0036101083033</v>
      </c>
      <c r="G1037" s="7">
        <v>2518.2624037917781</v>
      </c>
      <c r="H1037" s="7">
        <v>2264.4380157993419</v>
      </c>
    </row>
    <row r="1038" spans="1:8" x14ac:dyDescent="0.3">
      <c r="A1038" s="7">
        <v>1035</v>
      </c>
      <c r="B1038" s="7">
        <v>687.20580149237992</v>
      </c>
      <c r="C1038" s="7">
        <v>401.01002742282122</v>
      </c>
      <c r="D1038" s="7">
        <v>131</v>
      </c>
      <c r="E1038" s="7">
        <v>146</v>
      </c>
      <c r="F1038" s="7">
        <v>4758.4837545126356</v>
      </c>
      <c r="G1038" s="7">
        <v>1804.865020010642</v>
      </c>
      <c r="H1038" s="7">
        <v>1592.339570637864</v>
      </c>
    </row>
    <row r="1039" spans="1:8" x14ac:dyDescent="0.3">
      <c r="A1039" s="7">
        <v>1036</v>
      </c>
      <c r="B1039" s="7">
        <v>747.10828561346966</v>
      </c>
      <c r="C1039" s="7">
        <v>518.61422513190837</v>
      </c>
      <c r="D1039" s="7">
        <v>129</v>
      </c>
      <c r="E1039" s="7">
        <v>146</v>
      </c>
      <c r="F1039" s="7">
        <v>5388.2072727272734</v>
      </c>
      <c r="G1039" s="7">
        <v>1669.636819349385</v>
      </c>
      <c r="H1039" s="7">
        <v>1463.8041662006231</v>
      </c>
    </row>
    <row r="1040" spans="1:8" x14ac:dyDescent="0.3">
      <c r="A1040" s="7">
        <v>1037</v>
      </c>
      <c r="B1040" s="7">
        <v>1258.295143330178</v>
      </c>
      <c r="C1040" s="7">
        <v>708.38448321308556</v>
      </c>
      <c r="D1040" s="7">
        <v>129</v>
      </c>
      <c r="E1040" s="7">
        <v>146</v>
      </c>
      <c r="F1040" s="7">
        <v>6523.5272727272732</v>
      </c>
      <c r="G1040" s="7">
        <v>2288.6680954570038</v>
      </c>
      <c r="H1040" s="7">
        <v>1878.489578328933</v>
      </c>
    </row>
    <row r="1041" spans="1:8" x14ac:dyDescent="0.3">
      <c r="A1041" s="7">
        <v>1038</v>
      </c>
      <c r="B1041" s="7">
        <v>1776.935489336656</v>
      </c>
      <c r="C1041" s="7">
        <v>851.56759505408388</v>
      </c>
      <c r="D1041" s="7">
        <v>128</v>
      </c>
      <c r="E1041" s="7">
        <v>146</v>
      </c>
      <c r="F1041" s="7">
        <v>5759.7883211678836</v>
      </c>
      <c r="G1041" s="7">
        <v>1750.43460228453</v>
      </c>
      <c r="H1041" s="7">
        <v>1740.991799293</v>
      </c>
    </row>
    <row r="1042" spans="1:8" x14ac:dyDescent="0.3">
      <c r="A1042" s="7">
        <v>1039</v>
      </c>
      <c r="B1042" s="7">
        <v>1521.845011172458</v>
      </c>
      <c r="C1042" s="7">
        <v>826.84152025446622</v>
      </c>
      <c r="D1042" s="7">
        <v>129</v>
      </c>
      <c r="E1042" s="7">
        <v>146</v>
      </c>
      <c r="F1042" s="7">
        <v>8293.1672727272726</v>
      </c>
      <c r="G1042" s="7">
        <v>2620.2979740610072</v>
      </c>
      <c r="H1042" s="7">
        <v>2202.2828457935898</v>
      </c>
    </row>
    <row r="1043" spans="1:8" x14ac:dyDescent="0.3">
      <c r="A1043" s="7">
        <v>1040</v>
      </c>
      <c r="B1043" s="7">
        <v>1393.4760215240931</v>
      </c>
      <c r="C1043" s="7">
        <v>664.30110049540144</v>
      </c>
      <c r="D1043" s="7">
        <v>129</v>
      </c>
      <c r="E1043" s="7">
        <v>146</v>
      </c>
      <c r="F1043" s="7">
        <v>8870.3490909090906</v>
      </c>
      <c r="G1043" s="7">
        <v>3016.6895647766869</v>
      </c>
      <c r="H1043" s="7">
        <v>2601.6044390979669</v>
      </c>
    </row>
    <row r="1044" spans="1:8" x14ac:dyDescent="0.3">
      <c r="A1044" s="7">
        <v>1041</v>
      </c>
      <c r="B1044" s="7">
        <v>1986.27879422913</v>
      </c>
      <c r="C1044" s="7">
        <v>918.75177407524382</v>
      </c>
      <c r="D1044" s="7">
        <v>128</v>
      </c>
      <c r="E1044" s="7">
        <v>146</v>
      </c>
      <c r="F1044" s="7">
        <v>6178.0985401459857</v>
      </c>
      <c r="G1044" s="7">
        <v>1390.748011413282</v>
      </c>
      <c r="H1044" s="7">
        <v>1270.39253722231</v>
      </c>
    </row>
    <row r="1045" spans="1:8" x14ac:dyDescent="0.3">
      <c r="A1045" s="7">
        <v>1042</v>
      </c>
      <c r="B1045" s="7">
        <v>830.70010236448149</v>
      </c>
      <c r="C1045" s="7">
        <v>439.02334360869071</v>
      </c>
      <c r="D1045" s="7">
        <v>129</v>
      </c>
      <c r="E1045" s="7">
        <v>146</v>
      </c>
      <c r="F1045" s="7">
        <v>4199.090909090909</v>
      </c>
      <c r="G1045" s="7">
        <v>1677.051036282013</v>
      </c>
      <c r="H1045" s="7">
        <v>1205.2287994003921</v>
      </c>
    </row>
    <row r="1046" spans="1:8" x14ac:dyDescent="0.3">
      <c r="A1046" s="7">
        <v>1043</v>
      </c>
      <c r="B1046" s="7">
        <v>1294.6684730102229</v>
      </c>
      <c r="C1046" s="7">
        <v>866.25946209974245</v>
      </c>
      <c r="D1046" s="7">
        <v>130</v>
      </c>
      <c r="E1046" s="7">
        <v>146</v>
      </c>
      <c r="F1046" s="7">
        <v>8240.63768115942</v>
      </c>
      <c r="G1046" s="7">
        <v>3005.0835403721121</v>
      </c>
      <c r="H1046" s="7">
        <v>2653.79957899602</v>
      </c>
    </row>
    <row r="1047" spans="1:8" x14ac:dyDescent="0.3">
      <c r="A1047" s="7">
        <v>1044</v>
      </c>
      <c r="B1047" s="7">
        <v>1207.2690770594349</v>
      </c>
      <c r="C1047" s="7">
        <v>684.79889769150839</v>
      </c>
      <c r="D1047" s="7">
        <v>128</v>
      </c>
      <c r="E1047" s="7">
        <v>146</v>
      </c>
      <c r="F1047" s="7">
        <v>6542.6459854014602</v>
      </c>
      <c r="G1047" s="7">
        <v>2228.153898830823</v>
      </c>
      <c r="H1047" s="7">
        <v>1983.9106703541891</v>
      </c>
    </row>
    <row r="1048" spans="1:8" x14ac:dyDescent="0.3">
      <c r="A1048" s="7">
        <v>1045</v>
      </c>
      <c r="B1048" s="7">
        <v>1399.7771720308151</v>
      </c>
      <c r="C1048" s="7">
        <v>1416.4746823150169</v>
      </c>
      <c r="D1048" s="7">
        <v>131</v>
      </c>
      <c r="E1048" s="7">
        <v>179</v>
      </c>
      <c r="F1048" s="7">
        <v>7069.4</v>
      </c>
      <c r="G1048" s="7">
        <v>2394.4559853229412</v>
      </c>
      <c r="H1048" s="7">
        <v>2538.945220441401</v>
      </c>
    </row>
    <row r="1049" spans="1:8" x14ac:dyDescent="0.3">
      <c r="A1049" s="7">
        <v>1046</v>
      </c>
      <c r="B1049" s="7">
        <v>1260.509208554879</v>
      </c>
      <c r="C1049" s="7">
        <v>776.22199241693443</v>
      </c>
      <c r="D1049" s="7">
        <v>130</v>
      </c>
      <c r="E1049" s="7">
        <v>146</v>
      </c>
      <c r="F1049" s="7">
        <v>9134.3695652173919</v>
      </c>
      <c r="G1049" s="7">
        <v>3319.6288358327511</v>
      </c>
      <c r="H1049" s="7">
        <v>3051.634138917741</v>
      </c>
    </row>
    <row r="1050" spans="1:8" x14ac:dyDescent="0.3">
      <c r="A1050" s="7">
        <v>1047</v>
      </c>
      <c r="B1050" s="7">
        <v>793.76152694646817</v>
      </c>
      <c r="C1050" s="7">
        <v>438.92360871336189</v>
      </c>
      <c r="D1050" s="7">
        <v>127</v>
      </c>
      <c r="E1050" s="7">
        <v>146</v>
      </c>
      <c r="F1050" s="7">
        <v>5052.9597069597066</v>
      </c>
      <c r="G1050" s="7">
        <v>1828.4737084142621</v>
      </c>
      <c r="H1050" s="7">
        <v>1515.365288933368</v>
      </c>
    </row>
    <row r="1051" spans="1:8" x14ac:dyDescent="0.3">
      <c r="A1051" s="7">
        <v>1048</v>
      </c>
      <c r="B1051" s="7">
        <v>1152.837181505146</v>
      </c>
      <c r="C1051" s="7">
        <v>817.20842849945404</v>
      </c>
      <c r="D1051" s="7">
        <v>131</v>
      </c>
      <c r="E1051" s="7">
        <v>144</v>
      </c>
      <c r="F1051" s="7">
        <v>7448.6436363636367</v>
      </c>
      <c r="G1051" s="7">
        <v>2654.7140025084632</v>
      </c>
      <c r="H1051" s="7">
        <v>2460.6468308940412</v>
      </c>
    </row>
    <row r="1052" spans="1:8" x14ac:dyDescent="0.3">
      <c r="A1052" s="7">
        <v>1049</v>
      </c>
      <c r="B1052" s="7">
        <v>2171.6638907223169</v>
      </c>
      <c r="C1052" s="7">
        <v>791.82489189322723</v>
      </c>
      <c r="D1052" s="7">
        <v>128</v>
      </c>
      <c r="E1052" s="7">
        <v>146</v>
      </c>
      <c r="F1052" s="7">
        <v>4033.8467153284669</v>
      </c>
      <c r="G1052" s="7">
        <v>1026.0851344430439</v>
      </c>
      <c r="H1052" s="7">
        <v>1049.4764480770839</v>
      </c>
    </row>
    <row r="1053" spans="1:8" x14ac:dyDescent="0.3">
      <c r="A1053" s="7">
        <v>1050</v>
      </c>
      <c r="B1053" s="7">
        <v>1294.8480181162529</v>
      </c>
      <c r="C1053" s="7">
        <v>751.04348143834773</v>
      </c>
      <c r="D1053" s="7">
        <v>129</v>
      </c>
      <c r="E1053" s="7">
        <v>146</v>
      </c>
      <c r="F1053" s="7">
        <v>7345.4872727272723</v>
      </c>
      <c r="G1053" s="7">
        <v>2576.793792305084</v>
      </c>
      <c r="H1053" s="7">
        <v>2277.9717351247791</v>
      </c>
    </row>
    <row r="1054" spans="1:8" x14ac:dyDescent="0.3">
      <c r="A1054" s="7">
        <v>1051</v>
      </c>
      <c r="B1054" s="7">
        <v>1055.566798972508</v>
      </c>
      <c r="C1054" s="7">
        <v>790.07609538759709</v>
      </c>
      <c r="D1054" s="7">
        <v>128</v>
      </c>
      <c r="E1054" s="7">
        <v>146</v>
      </c>
      <c r="F1054" s="7">
        <v>7944.0839416058398</v>
      </c>
      <c r="G1054" s="7">
        <v>2537.4017314715861</v>
      </c>
      <c r="H1054" s="7">
        <v>2098.243986948878</v>
      </c>
    </row>
    <row r="1055" spans="1:8" x14ac:dyDescent="0.3">
      <c r="A1055" s="7">
        <v>1052</v>
      </c>
      <c r="B1055" s="7">
        <v>1033.5892759634989</v>
      </c>
      <c r="C1055" s="7">
        <v>574.14908684484897</v>
      </c>
      <c r="D1055" s="7">
        <v>129</v>
      </c>
      <c r="E1055" s="7">
        <v>146</v>
      </c>
      <c r="F1055" s="7">
        <v>7292.0581818181818</v>
      </c>
      <c r="G1055" s="7">
        <v>2405.8309641175911</v>
      </c>
      <c r="H1055" s="7">
        <v>2009.0391539036291</v>
      </c>
    </row>
    <row r="1056" spans="1:8" x14ac:dyDescent="0.3">
      <c r="A1056" s="7">
        <v>1053</v>
      </c>
      <c r="B1056" s="7">
        <v>1152.61607908324</v>
      </c>
      <c r="C1056" s="7">
        <v>606.39436460237573</v>
      </c>
      <c r="D1056" s="7">
        <v>131</v>
      </c>
      <c r="E1056" s="7">
        <v>146</v>
      </c>
      <c r="F1056" s="7">
        <v>8955.3249097472926</v>
      </c>
      <c r="G1056" s="7">
        <v>3189.7779601587481</v>
      </c>
      <c r="H1056" s="7">
        <v>2744.7292864988308</v>
      </c>
    </row>
    <row r="1057" spans="1:8" x14ac:dyDescent="0.3">
      <c r="A1057" s="7">
        <v>1054</v>
      </c>
      <c r="B1057" s="7">
        <v>1030.7136570772111</v>
      </c>
      <c r="C1057" s="7">
        <v>569.26805037817655</v>
      </c>
      <c r="D1057" s="7">
        <v>131</v>
      </c>
      <c r="E1057" s="7">
        <v>146</v>
      </c>
      <c r="F1057" s="7">
        <v>6204.0541516245476</v>
      </c>
      <c r="G1057" s="7">
        <v>2217.9286533724171</v>
      </c>
      <c r="H1057" s="7">
        <v>1984.8589008200011</v>
      </c>
    </row>
    <row r="1058" spans="1:8" x14ac:dyDescent="0.3">
      <c r="A1058" s="7">
        <v>1055</v>
      </c>
      <c r="B1058" s="7">
        <v>1253.3556391119771</v>
      </c>
      <c r="C1058" s="7">
        <v>626.6945259720685</v>
      </c>
      <c r="D1058" s="7">
        <v>131</v>
      </c>
      <c r="E1058" s="7">
        <v>146</v>
      </c>
      <c r="F1058" s="7">
        <v>7741.4837545126356</v>
      </c>
      <c r="G1058" s="7">
        <v>2747.875511086243</v>
      </c>
      <c r="H1058" s="7">
        <v>2295.577115786039</v>
      </c>
    </row>
    <row r="1059" spans="1:8" x14ac:dyDescent="0.3">
      <c r="A1059" s="7">
        <v>1056</v>
      </c>
      <c r="B1059" s="7">
        <v>2503.292794106248</v>
      </c>
      <c r="C1059" s="7">
        <v>1079.8677908623049</v>
      </c>
      <c r="D1059" s="7">
        <v>128</v>
      </c>
      <c r="E1059" s="7">
        <v>146</v>
      </c>
      <c r="F1059" s="7">
        <v>4669.2043795620439</v>
      </c>
      <c r="G1059" s="7">
        <v>1649.74550594175</v>
      </c>
      <c r="H1059" s="7">
        <v>1468.6385784026661</v>
      </c>
    </row>
    <row r="1060" spans="1:8" x14ac:dyDescent="0.3">
      <c r="A1060" s="7">
        <v>1057</v>
      </c>
      <c r="B1060" s="7">
        <v>1148.553829245958</v>
      </c>
      <c r="C1060" s="7">
        <v>657.50635854488974</v>
      </c>
      <c r="D1060" s="7">
        <v>131</v>
      </c>
      <c r="E1060" s="7">
        <v>146</v>
      </c>
      <c r="F1060" s="7">
        <v>6494.7797833935019</v>
      </c>
      <c r="G1060" s="7">
        <v>2008.1519151956149</v>
      </c>
      <c r="H1060" s="7">
        <v>1644.1956146329071</v>
      </c>
    </row>
    <row r="1061" spans="1:8" x14ac:dyDescent="0.3">
      <c r="A1061" s="7">
        <v>1058</v>
      </c>
      <c r="B1061" s="7">
        <v>1045.6617914369849</v>
      </c>
      <c r="C1061" s="7">
        <v>855.58119333478692</v>
      </c>
      <c r="D1061" s="7">
        <v>129</v>
      </c>
      <c r="E1061" s="7">
        <v>146</v>
      </c>
      <c r="F1061" s="7">
        <v>7475.181818181818</v>
      </c>
      <c r="G1061" s="7">
        <v>2350.393433996454</v>
      </c>
      <c r="H1061" s="7">
        <v>2072.7394321102352</v>
      </c>
    </row>
    <row r="1062" spans="1:8" x14ac:dyDescent="0.3">
      <c r="A1062" s="7">
        <v>1059</v>
      </c>
      <c r="B1062" s="7">
        <v>1175.236064924263</v>
      </c>
      <c r="C1062" s="7">
        <v>682.23083199184487</v>
      </c>
      <c r="D1062" s="7">
        <v>131</v>
      </c>
      <c r="E1062" s="7">
        <v>146</v>
      </c>
      <c r="F1062" s="7">
        <v>8816.010830324909</v>
      </c>
      <c r="G1062" s="7">
        <v>2665.1577542355408</v>
      </c>
      <c r="H1062" s="7">
        <v>2238.7006826673692</v>
      </c>
    </row>
    <row r="1063" spans="1:8" x14ac:dyDescent="0.3">
      <c r="A1063" s="7">
        <v>1060</v>
      </c>
      <c r="B1063" s="7">
        <v>1029.0551185630361</v>
      </c>
      <c r="C1063" s="7">
        <v>642.09474007852111</v>
      </c>
      <c r="D1063" s="7">
        <v>129</v>
      </c>
      <c r="E1063" s="7">
        <v>146</v>
      </c>
      <c r="F1063" s="7">
        <v>7544.4290909090914</v>
      </c>
      <c r="G1063" s="7">
        <v>2516.0636353348191</v>
      </c>
      <c r="H1063" s="7">
        <v>2082.1620365800891</v>
      </c>
    </row>
    <row r="1064" spans="1:8" x14ac:dyDescent="0.3">
      <c r="A1064" s="7">
        <v>1061</v>
      </c>
      <c r="B1064" s="7">
        <v>1329.4336244628259</v>
      </c>
      <c r="C1064" s="7">
        <v>709.2998433133564</v>
      </c>
      <c r="D1064" s="7">
        <v>128</v>
      </c>
      <c r="E1064" s="7">
        <v>146</v>
      </c>
      <c r="F1064" s="7">
        <v>8182.5839416058398</v>
      </c>
      <c r="G1064" s="7">
        <v>2446.16927881637</v>
      </c>
      <c r="H1064" s="7">
        <v>2148.8343319812652</v>
      </c>
    </row>
    <row r="1065" spans="1:8" x14ac:dyDescent="0.3">
      <c r="A1065" s="7">
        <v>1062</v>
      </c>
      <c r="B1065" s="7">
        <v>916.10554339298221</v>
      </c>
      <c r="C1065" s="7">
        <v>550.97235526799079</v>
      </c>
      <c r="D1065" s="7">
        <v>129</v>
      </c>
      <c r="E1065" s="7">
        <v>146</v>
      </c>
      <c r="F1065" s="7">
        <v>6348.5236363636368</v>
      </c>
      <c r="G1065" s="7">
        <v>2510.8562114801962</v>
      </c>
      <c r="H1065" s="7">
        <v>2170.0155592523429</v>
      </c>
    </row>
    <row r="1066" spans="1:8" x14ac:dyDescent="0.3">
      <c r="A1066" s="7">
        <v>1063</v>
      </c>
      <c r="B1066" s="7">
        <v>644.42354621474885</v>
      </c>
      <c r="C1066" s="7">
        <v>445.70107337495608</v>
      </c>
      <c r="D1066" s="7">
        <v>131</v>
      </c>
      <c r="E1066" s="7">
        <v>146</v>
      </c>
      <c r="F1066" s="7">
        <v>4658.7581227436822</v>
      </c>
      <c r="G1066" s="7">
        <v>1499.012866028535</v>
      </c>
      <c r="H1066" s="7">
        <v>1364.4946553151319</v>
      </c>
    </row>
    <row r="1067" spans="1:8" x14ac:dyDescent="0.3">
      <c r="A1067" s="7">
        <v>1064</v>
      </c>
      <c r="B1067" s="7">
        <v>1615.0852029854359</v>
      </c>
      <c r="C1067" s="7">
        <v>883.87756544113211</v>
      </c>
      <c r="D1067" s="7">
        <v>129</v>
      </c>
      <c r="E1067" s="7">
        <v>146</v>
      </c>
      <c r="F1067" s="7">
        <v>9975.7345454545448</v>
      </c>
      <c r="G1067" s="7">
        <v>2956.9027190495258</v>
      </c>
      <c r="H1067" s="7">
        <v>2422.7947379969592</v>
      </c>
    </row>
    <row r="1068" spans="1:8" x14ac:dyDescent="0.3">
      <c r="A1068" s="7">
        <v>1065</v>
      </c>
      <c r="B1068" s="7">
        <v>2356.681511629411</v>
      </c>
      <c r="C1068" s="7">
        <v>942.73665844264883</v>
      </c>
      <c r="D1068" s="7">
        <v>128</v>
      </c>
      <c r="E1068" s="7">
        <v>146</v>
      </c>
      <c r="F1068" s="7">
        <v>4288.0839416058398</v>
      </c>
      <c r="G1068" s="7">
        <v>1065.730387017514</v>
      </c>
      <c r="H1068" s="7">
        <v>999.02581657922178</v>
      </c>
    </row>
    <row r="1069" spans="1:8" x14ac:dyDescent="0.3">
      <c r="A1069" s="7">
        <v>1066</v>
      </c>
      <c r="B1069" s="7">
        <v>1458.5279470531491</v>
      </c>
      <c r="C1069" s="7">
        <v>817.05356000425502</v>
      </c>
      <c r="D1069" s="7">
        <v>129</v>
      </c>
      <c r="E1069" s="7">
        <v>146</v>
      </c>
      <c r="F1069" s="7">
        <v>11134.094545454551</v>
      </c>
      <c r="G1069" s="7">
        <v>2515.3494771597971</v>
      </c>
      <c r="H1069" s="7">
        <v>1996.5502817102449</v>
      </c>
    </row>
    <row r="1070" spans="1:8" x14ac:dyDescent="0.3">
      <c r="A1070" s="7">
        <v>1067</v>
      </c>
      <c r="B1070" s="7">
        <v>1909.938415991252</v>
      </c>
      <c r="C1070" s="7">
        <v>948.64082322588627</v>
      </c>
      <c r="D1070" s="7">
        <v>128</v>
      </c>
      <c r="E1070" s="7">
        <v>146</v>
      </c>
      <c r="F1070" s="7">
        <v>6186.8978102189794</v>
      </c>
      <c r="G1070" s="7">
        <v>1673.393593028102</v>
      </c>
      <c r="H1070" s="7">
        <v>1613.0049639411</v>
      </c>
    </row>
    <row r="1071" spans="1:8" x14ac:dyDescent="0.3">
      <c r="A1071" s="7">
        <v>1068</v>
      </c>
      <c r="B1071" s="7">
        <v>843.29980347789149</v>
      </c>
      <c r="C1071" s="7">
        <v>553.39696688153958</v>
      </c>
      <c r="D1071" s="7">
        <v>128</v>
      </c>
      <c r="E1071" s="7">
        <v>146</v>
      </c>
      <c r="F1071" s="7">
        <v>4717.2372262773724</v>
      </c>
      <c r="G1071" s="7">
        <v>1606.534449521703</v>
      </c>
      <c r="H1071" s="7">
        <v>1494.952411392673</v>
      </c>
    </row>
    <row r="1072" spans="1:8" x14ac:dyDescent="0.3">
      <c r="A1072" s="7">
        <v>1069</v>
      </c>
      <c r="B1072" s="7">
        <v>1168.1936794518381</v>
      </c>
      <c r="C1072" s="7">
        <v>782.37143014922913</v>
      </c>
      <c r="D1072" s="7">
        <v>131</v>
      </c>
      <c r="E1072" s="7">
        <v>146</v>
      </c>
      <c r="F1072" s="7">
        <v>6524.584837545126</v>
      </c>
      <c r="G1072" s="7">
        <v>2275.486858399338</v>
      </c>
      <c r="H1072" s="7">
        <v>1918.1245674263139</v>
      </c>
    </row>
    <row r="1073" spans="1:8" x14ac:dyDescent="0.3">
      <c r="A1073" s="7">
        <v>1070</v>
      </c>
      <c r="B1073" s="7">
        <v>1018.184439551008</v>
      </c>
      <c r="C1073" s="7">
        <v>678.88092690850715</v>
      </c>
      <c r="D1073" s="7">
        <v>131</v>
      </c>
      <c r="E1073" s="7">
        <v>146</v>
      </c>
      <c r="F1073" s="7">
        <v>7254.1371841155233</v>
      </c>
      <c r="G1073" s="7">
        <v>2544.2674075696868</v>
      </c>
      <c r="H1073" s="7">
        <v>2256.5655289180881</v>
      </c>
    </row>
    <row r="1074" spans="1:8" x14ac:dyDescent="0.3">
      <c r="A1074" s="7">
        <v>1071</v>
      </c>
      <c r="B1074" s="7">
        <v>829.45526311991853</v>
      </c>
      <c r="C1074" s="7">
        <v>546.87862387718724</v>
      </c>
      <c r="D1074" s="7">
        <v>131</v>
      </c>
      <c r="E1074" s="7">
        <v>146</v>
      </c>
      <c r="F1074" s="7">
        <v>6137.2671480144409</v>
      </c>
      <c r="G1074" s="7">
        <v>1591.7929686243219</v>
      </c>
      <c r="H1074" s="7">
        <v>1368.46180771627</v>
      </c>
    </row>
    <row r="1075" spans="1:8" x14ac:dyDescent="0.3">
      <c r="A1075" s="7">
        <v>1072</v>
      </c>
      <c r="B1075" s="7">
        <v>969.07718008342545</v>
      </c>
      <c r="C1075" s="7">
        <v>657.35092989220152</v>
      </c>
      <c r="D1075" s="7">
        <v>129</v>
      </c>
      <c r="E1075" s="7">
        <v>146</v>
      </c>
      <c r="F1075" s="7">
        <v>7181.7854545454547</v>
      </c>
      <c r="G1075" s="7">
        <v>2099.9303679854711</v>
      </c>
      <c r="H1075" s="7">
        <v>1769.945384576474</v>
      </c>
    </row>
    <row r="1076" spans="1:8" x14ac:dyDescent="0.3">
      <c r="A1076" s="7">
        <v>1073</v>
      </c>
      <c r="B1076" s="7">
        <v>1385.517295165193</v>
      </c>
      <c r="C1076" s="7">
        <v>1011.593266292139</v>
      </c>
      <c r="D1076" s="7">
        <v>129</v>
      </c>
      <c r="E1076" s="7">
        <v>146</v>
      </c>
      <c r="F1076" s="7">
        <v>8144.8254545454547</v>
      </c>
      <c r="G1076" s="7">
        <v>2118.8200405747261</v>
      </c>
      <c r="H1076" s="7">
        <v>1693.9968240011631</v>
      </c>
    </row>
    <row r="1077" spans="1:8" x14ac:dyDescent="0.3">
      <c r="A1077" s="7">
        <v>1074</v>
      </c>
      <c r="B1077" s="7">
        <v>909.99869020170843</v>
      </c>
      <c r="C1077" s="7">
        <v>571.61225845814874</v>
      </c>
      <c r="D1077" s="7">
        <v>131</v>
      </c>
      <c r="E1077" s="7">
        <v>146</v>
      </c>
      <c r="F1077" s="7">
        <v>5334.9819494584845</v>
      </c>
      <c r="G1077" s="7">
        <v>2070.43592415475</v>
      </c>
      <c r="H1077" s="7">
        <v>1845.164743730719</v>
      </c>
    </row>
    <row r="1078" spans="1:8" x14ac:dyDescent="0.3">
      <c r="A1078" s="7">
        <v>1075</v>
      </c>
      <c r="B1078" s="7">
        <v>1053.8687069117841</v>
      </c>
      <c r="C1078" s="7">
        <v>959.08711531243671</v>
      </c>
      <c r="D1078" s="7">
        <v>131</v>
      </c>
      <c r="E1078" s="7">
        <v>146</v>
      </c>
      <c r="F1078" s="7">
        <v>11747.46209386282</v>
      </c>
      <c r="G1078" s="7">
        <v>1681.996244470306</v>
      </c>
      <c r="H1078" s="7">
        <v>1539.644194798052</v>
      </c>
    </row>
    <row r="1079" spans="1:8" x14ac:dyDescent="0.3">
      <c r="A1079" s="7">
        <v>1076</v>
      </c>
      <c r="B1079" s="7">
        <v>751.4225005644405</v>
      </c>
      <c r="C1079" s="7">
        <v>530.5126140659271</v>
      </c>
      <c r="D1079" s="7">
        <v>129</v>
      </c>
      <c r="E1079" s="7">
        <v>146</v>
      </c>
      <c r="F1079" s="7">
        <v>4154.1018181818181</v>
      </c>
      <c r="G1079" s="7">
        <v>1386.986985960865</v>
      </c>
      <c r="H1079" s="7">
        <v>1187.4664724899269</v>
      </c>
    </row>
    <row r="1080" spans="1:8" x14ac:dyDescent="0.3">
      <c r="A1080" s="7">
        <v>1077</v>
      </c>
      <c r="B1080" s="7">
        <v>603.47680248362224</v>
      </c>
      <c r="C1080" s="7">
        <v>396.62531289534161</v>
      </c>
      <c r="D1080" s="7">
        <v>129</v>
      </c>
      <c r="E1080" s="7">
        <v>146</v>
      </c>
      <c r="F1080" s="7">
        <v>4654.6509090909094</v>
      </c>
      <c r="G1080" s="7">
        <v>1454.471818674336</v>
      </c>
      <c r="H1080" s="7">
        <v>1288.715421788753</v>
      </c>
    </row>
    <row r="1081" spans="1:8" x14ac:dyDescent="0.3">
      <c r="A1081" s="7">
        <v>1078</v>
      </c>
      <c r="B1081" s="7">
        <v>1264.762982261673</v>
      </c>
      <c r="C1081" s="7">
        <v>724.11909516038304</v>
      </c>
      <c r="D1081" s="7">
        <v>128</v>
      </c>
      <c r="E1081" s="7">
        <v>146</v>
      </c>
      <c r="F1081" s="7">
        <v>7518.6569343065694</v>
      </c>
      <c r="G1081" s="7">
        <v>3101.7807272093719</v>
      </c>
      <c r="H1081" s="7">
        <v>2693.437749597882</v>
      </c>
    </row>
    <row r="1082" spans="1:8" x14ac:dyDescent="0.3">
      <c r="A1082" s="7">
        <v>1079</v>
      </c>
      <c r="B1082" s="7">
        <v>1068.4539376329481</v>
      </c>
      <c r="C1082" s="7">
        <v>657.0402862889099</v>
      </c>
      <c r="D1082" s="7">
        <v>129</v>
      </c>
      <c r="E1082" s="7">
        <v>146</v>
      </c>
      <c r="F1082" s="7">
        <v>8228.2909090909088</v>
      </c>
      <c r="G1082" s="7">
        <v>3097.5696424652801</v>
      </c>
      <c r="H1082" s="7">
        <v>2815.1124335803411</v>
      </c>
    </row>
    <row r="1083" spans="1:8" x14ac:dyDescent="0.3">
      <c r="A1083" s="7">
        <v>1080</v>
      </c>
      <c r="B1083" s="7">
        <v>1458.7393866289169</v>
      </c>
      <c r="C1083" s="7">
        <v>1073.3962152644131</v>
      </c>
      <c r="D1083" s="7">
        <v>128</v>
      </c>
      <c r="E1083" s="7">
        <v>146</v>
      </c>
      <c r="F1083" s="7">
        <v>10608.30291970803</v>
      </c>
      <c r="G1083" s="7">
        <v>2042.346150111435</v>
      </c>
      <c r="H1083" s="7">
        <v>1932.7906699828111</v>
      </c>
    </row>
    <row r="1084" spans="1:8" x14ac:dyDescent="0.3">
      <c r="A1084" s="7">
        <v>1081</v>
      </c>
      <c r="B1084" s="7">
        <v>1523.5374177629969</v>
      </c>
      <c r="C1084" s="7">
        <v>1071.2508224303449</v>
      </c>
      <c r="D1084" s="7">
        <v>135</v>
      </c>
      <c r="E1084" s="7">
        <v>201</v>
      </c>
      <c r="F1084" s="7">
        <v>5301.6875</v>
      </c>
      <c r="G1084" s="7">
        <v>2134.287765664852</v>
      </c>
      <c r="H1084" s="7">
        <v>1580.0853320996359</v>
      </c>
    </row>
    <row r="1085" spans="1:8" x14ac:dyDescent="0.3">
      <c r="A1085" s="7">
        <v>1082</v>
      </c>
      <c r="B1085" s="7">
        <v>1363.495959914017</v>
      </c>
      <c r="C1085" s="7">
        <v>890.69763785605574</v>
      </c>
      <c r="D1085" s="7">
        <v>131</v>
      </c>
      <c r="E1085" s="7">
        <v>146</v>
      </c>
      <c r="F1085" s="7">
        <v>6640.5306859205784</v>
      </c>
      <c r="G1085" s="7">
        <v>2367.5331155941858</v>
      </c>
      <c r="H1085" s="7">
        <v>2107.2126853665868</v>
      </c>
    </row>
    <row r="1086" spans="1:8" x14ac:dyDescent="0.3">
      <c r="A1086" s="7">
        <v>1083</v>
      </c>
      <c r="B1086" s="7">
        <v>954.20991693423855</v>
      </c>
      <c r="C1086" s="7">
        <v>704.73979638635626</v>
      </c>
      <c r="D1086" s="7">
        <v>129</v>
      </c>
      <c r="E1086" s="7">
        <v>146</v>
      </c>
      <c r="F1086" s="7">
        <v>5879.9272727272728</v>
      </c>
      <c r="G1086" s="7">
        <v>1784.4628901161129</v>
      </c>
      <c r="H1086" s="7">
        <v>1479.1309508840029</v>
      </c>
    </row>
    <row r="1087" spans="1:8" x14ac:dyDescent="0.3">
      <c r="A1087" s="7">
        <v>1084</v>
      </c>
      <c r="B1087" s="7">
        <v>881.12478253387576</v>
      </c>
      <c r="C1087" s="7">
        <v>646.89429325125855</v>
      </c>
      <c r="D1087" s="7">
        <v>129</v>
      </c>
      <c r="E1087" s="7">
        <v>146</v>
      </c>
      <c r="F1087" s="7">
        <v>6238.44</v>
      </c>
      <c r="G1087" s="7">
        <v>1645.9907103640201</v>
      </c>
      <c r="H1087" s="7">
        <v>1435.9972168668421</v>
      </c>
    </row>
    <row r="1088" spans="1:8" x14ac:dyDescent="0.3">
      <c r="A1088" s="7">
        <v>1085</v>
      </c>
      <c r="B1088" s="7">
        <v>932.02285268212222</v>
      </c>
      <c r="C1088" s="7">
        <v>530.93932769189712</v>
      </c>
      <c r="D1088" s="7">
        <v>131</v>
      </c>
      <c r="E1088" s="7">
        <v>146</v>
      </c>
      <c r="F1088" s="7">
        <v>7187.646209386282</v>
      </c>
      <c r="G1088" s="7">
        <v>2285.0485771641711</v>
      </c>
      <c r="H1088" s="7">
        <v>1984.684758101673</v>
      </c>
    </row>
    <row r="1089" spans="1:8" x14ac:dyDescent="0.3">
      <c r="A1089" s="7">
        <v>1086</v>
      </c>
      <c r="B1089" s="7">
        <v>901.21910165734494</v>
      </c>
      <c r="C1089" s="7">
        <v>557.41984824314147</v>
      </c>
      <c r="D1089" s="7">
        <v>129</v>
      </c>
      <c r="E1089" s="7">
        <v>146</v>
      </c>
      <c r="F1089" s="7">
        <v>5986.5527272727277</v>
      </c>
      <c r="G1089" s="7">
        <v>2819.4188595216492</v>
      </c>
      <c r="H1089" s="7">
        <v>2493.641176085383</v>
      </c>
    </row>
    <row r="1090" spans="1:8" x14ac:dyDescent="0.3">
      <c r="A1090" s="7">
        <v>1087</v>
      </c>
      <c r="B1090" s="7">
        <v>827.7277311806846</v>
      </c>
      <c r="C1090" s="7">
        <v>641.29754788120442</v>
      </c>
      <c r="D1090" s="7">
        <v>131</v>
      </c>
      <c r="E1090" s="7">
        <v>146</v>
      </c>
      <c r="F1090" s="7">
        <v>6624.6353790613721</v>
      </c>
      <c r="G1090" s="7">
        <v>1873.2524008397561</v>
      </c>
      <c r="H1090" s="7">
        <v>1796.015163007658</v>
      </c>
    </row>
    <row r="1091" spans="1:8" x14ac:dyDescent="0.3">
      <c r="A1091" s="7">
        <v>1088</v>
      </c>
      <c r="B1091" s="7">
        <v>890.24772101427982</v>
      </c>
      <c r="C1091" s="7">
        <v>610.04278388054615</v>
      </c>
      <c r="D1091" s="7">
        <v>129</v>
      </c>
      <c r="E1091" s="7">
        <v>146</v>
      </c>
      <c r="F1091" s="7">
        <v>5372.5418181818186</v>
      </c>
      <c r="G1091" s="7">
        <v>1928.0507628654509</v>
      </c>
      <c r="H1091" s="7">
        <v>1655.163947100353</v>
      </c>
    </row>
    <row r="1092" spans="1:8" x14ac:dyDescent="0.3">
      <c r="A1092" s="7">
        <v>1089</v>
      </c>
      <c r="B1092" s="7">
        <v>1639.1471567393</v>
      </c>
      <c r="C1092" s="7">
        <v>854.56002770147052</v>
      </c>
      <c r="D1092" s="7">
        <v>129</v>
      </c>
      <c r="E1092" s="7">
        <v>146</v>
      </c>
      <c r="F1092" s="7">
        <v>10502.88727272727</v>
      </c>
      <c r="G1092" s="7">
        <v>3377.7041053437192</v>
      </c>
      <c r="H1092" s="7">
        <v>2800.2021208848869</v>
      </c>
    </row>
    <row r="1093" spans="1:8" x14ac:dyDescent="0.3">
      <c r="A1093" s="7">
        <v>1090</v>
      </c>
      <c r="B1093" s="7">
        <v>951.43704293970052</v>
      </c>
      <c r="C1093" s="7">
        <v>755.49742618429514</v>
      </c>
      <c r="D1093" s="7">
        <v>131</v>
      </c>
      <c r="E1093" s="7">
        <v>146</v>
      </c>
      <c r="F1093" s="7">
        <v>6526.6353790613721</v>
      </c>
      <c r="G1093" s="7">
        <v>2300.1921857973198</v>
      </c>
      <c r="H1093" s="7">
        <v>2014.1695389184219</v>
      </c>
    </row>
    <row r="1094" spans="1:8" x14ac:dyDescent="0.3">
      <c r="A1094" s="7">
        <v>1091</v>
      </c>
      <c r="B1094" s="7">
        <v>1234.9566598940039</v>
      </c>
      <c r="C1094" s="7">
        <v>783.71395878417979</v>
      </c>
      <c r="D1094" s="7">
        <v>131</v>
      </c>
      <c r="E1094" s="7">
        <v>146</v>
      </c>
      <c r="F1094" s="7">
        <v>8427.7111913357403</v>
      </c>
      <c r="G1094" s="7">
        <v>2835.564274659489</v>
      </c>
      <c r="H1094" s="7">
        <v>2578.02527831215</v>
      </c>
    </row>
    <row r="1095" spans="1:8" x14ac:dyDescent="0.3">
      <c r="A1095" s="7">
        <v>1092</v>
      </c>
      <c r="B1095" s="7">
        <v>1282.4599542045471</v>
      </c>
      <c r="C1095" s="7">
        <v>1481.792027496967</v>
      </c>
      <c r="D1095" s="7">
        <v>128</v>
      </c>
      <c r="E1095" s="7">
        <v>146</v>
      </c>
      <c r="F1095" s="7">
        <v>12507.70802919708</v>
      </c>
      <c r="G1095" s="7">
        <v>2039.189230736079</v>
      </c>
      <c r="H1095" s="7">
        <v>2013.5788642280079</v>
      </c>
    </row>
    <row r="1096" spans="1:8" x14ac:dyDescent="0.3">
      <c r="A1096" s="7">
        <v>1093</v>
      </c>
      <c r="B1096" s="7">
        <v>1416.148449861136</v>
      </c>
      <c r="C1096" s="7">
        <v>836.21902228183478</v>
      </c>
      <c r="D1096" s="7">
        <v>131</v>
      </c>
      <c r="E1096" s="7">
        <v>146</v>
      </c>
      <c r="F1096" s="7">
        <v>8409.1480144404341</v>
      </c>
      <c r="G1096" s="7">
        <v>2675.5784449847811</v>
      </c>
      <c r="H1096" s="7">
        <v>2149.591166927215</v>
      </c>
    </row>
    <row r="1097" spans="1:8" x14ac:dyDescent="0.3">
      <c r="A1097" s="7">
        <v>1094</v>
      </c>
      <c r="B1097" s="7">
        <v>2285.994668185504</v>
      </c>
      <c r="C1097" s="7">
        <v>902.71854812527067</v>
      </c>
      <c r="D1097" s="7">
        <v>128</v>
      </c>
      <c r="E1097" s="7">
        <v>146</v>
      </c>
      <c r="F1097" s="7">
        <v>4908.6788321167887</v>
      </c>
      <c r="G1097" s="7">
        <v>1205.2454528279709</v>
      </c>
      <c r="H1097" s="7">
        <v>1132.806334631309</v>
      </c>
    </row>
    <row r="1098" spans="1:8" x14ac:dyDescent="0.3">
      <c r="A1098" s="7">
        <v>1095</v>
      </c>
      <c r="B1098" s="7">
        <v>796.30751697148366</v>
      </c>
      <c r="C1098" s="7">
        <v>529.10133822175976</v>
      </c>
      <c r="D1098" s="7">
        <v>131</v>
      </c>
      <c r="E1098" s="7">
        <v>146</v>
      </c>
      <c r="F1098" s="7">
        <v>4782.6028880866425</v>
      </c>
      <c r="G1098" s="7">
        <v>1311.018114361204</v>
      </c>
      <c r="H1098" s="7">
        <v>1208.579232104363</v>
      </c>
    </row>
    <row r="1099" spans="1:8" x14ac:dyDescent="0.3">
      <c r="A1099" s="7">
        <v>1096</v>
      </c>
      <c r="B1099" s="7">
        <v>1008.332092912519</v>
      </c>
      <c r="C1099" s="7">
        <v>707.61651149026932</v>
      </c>
      <c r="D1099" s="7">
        <v>129</v>
      </c>
      <c r="E1099" s="7">
        <v>146</v>
      </c>
      <c r="F1099" s="7">
        <v>6172.4654545454541</v>
      </c>
      <c r="G1099" s="7">
        <v>2181.9486401418931</v>
      </c>
      <c r="H1099" s="7">
        <v>1961.9376709410351</v>
      </c>
    </row>
    <row r="1100" spans="1:8" x14ac:dyDescent="0.3">
      <c r="A1100" s="7">
        <v>1097</v>
      </c>
      <c r="B1100" s="7">
        <v>1016.6015241283681</v>
      </c>
      <c r="C1100" s="7">
        <v>1021.259706974382</v>
      </c>
      <c r="D1100" s="7">
        <v>135</v>
      </c>
      <c r="E1100" s="7">
        <v>201</v>
      </c>
      <c r="F1100" s="7">
        <v>10677.919642857139</v>
      </c>
      <c r="G1100" s="7">
        <v>2349.8391197886058</v>
      </c>
      <c r="H1100" s="7">
        <v>1863.4303786617311</v>
      </c>
    </row>
    <row r="1101" spans="1:8" x14ac:dyDescent="0.3">
      <c r="A1101" s="7">
        <v>1098</v>
      </c>
      <c r="B1101" s="7">
        <v>706.44887317639098</v>
      </c>
      <c r="C1101" s="7">
        <v>478.05310481598298</v>
      </c>
      <c r="D1101" s="7">
        <v>131</v>
      </c>
      <c r="E1101" s="7">
        <v>146</v>
      </c>
      <c r="F1101" s="7">
        <v>5270.1444043321299</v>
      </c>
      <c r="G1101" s="7">
        <v>1483.186689437709</v>
      </c>
      <c r="H1101" s="7">
        <v>1270.2147267508731</v>
      </c>
    </row>
    <row r="1102" spans="1:8" x14ac:dyDescent="0.3">
      <c r="A1102" s="7">
        <v>1099</v>
      </c>
      <c r="B1102" s="7">
        <v>1203.0536854665229</v>
      </c>
      <c r="C1102" s="7">
        <v>1011.108808711287</v>
      </c>
      <c r="D1102" s="7">
        <v>131</v>
      </c>
      <c r="E1102" s="7">
        <v>184</v>
      </c>
      <c r="F1102" s="7">
        <v>7346.0507936507938</v>
      </c>
      <c r="G1102" s="7">
        <v>2113.237950063311</v>
      </c>
      <c r="H1102" s="7">
        <v>2086.367714265737</v>
      </c>
    </row>
    <row r="1103" spans="1:8" x14ac:dyDescent="0.3">
      <c r="A1103" s="7">
        <v>1100</v>
      </c>
      <c r="B1103" s="7">
        <v>822.91840394713665</v>
      </c>
      <c r="C1103" s="7">
        <v>501.78720369927731</v>
      </c>
      <c r="D1103" s="7">
        <v>129</v>
      </c>
      <c r="E1103" s="7">
        <v>146</v>
      </c>
      <c r="F1103" s="7">
        <v>5139.8981818181819</v>
      </c>
      <c r="G1103" s="7">
        <v>2227.8742083816342</v>
      </c>
      <c r="H1103" s="7">
        <v>2013.54207769049</v>
      </c>
    </row>
    <row r="1104" spans="1:8" x14ac:dyDescent="0.3">
      <c r="A1104" s="7">
        <v>1101</v>
      </c>
      <c r="B1104" s="7">
        <v>1238.5169265337561</v>
      </c>
      <c r="C1104" s="7">
        <v>751.11336840248475</v>
      </c>
      <c r="D1104" s="7">
        <v>131</v>
      </c>
      <c r="E1104" s="7">
        <v>146</v>
      </c>
      <c r="F1104" s="7">
        <v>10276.13718411552</v>
      </c>
      <c r="G1104" s="7">
        <v>3214.7179639567539</v>
      </c>
      <c r="H1104" s="7">
        <v>2942.4501147992619</v>
      </c>
    </row>
    <row r="1105" spans="1:8" x14ac:dyDescent="0.3">
      <c r="A1105" s="7">
        <v>1102</v>
      </c>
      <c r="B1105" s="7">
        <v>1617.064536790557</v>
      </c>
      <c r="C1105" s="7">
        <v>817.13740337706065</v>
      </c>
      <c r="D1105" s="7">
        <v>128</v>
      </c>
      <c r="E1105" s="7">
        <v>146</v>
      </c>
      <c r="F1105" s="7">
        <v>7044.4854014598541</v>
      </c>
      <c r="G1105" s="7">
        <v>1565.2033988231369</v>
      </c>
      <c r="H1105" s="7">
        <v>1542.222142554795</v>
      </c>
    </row>
    <row r="1106" spans="1:8" x14ac:dyDescent="0.3">
      <c r="A1106" s="7">
        <v>1103</v>
      </c>
      <c r="B1106" s="7">
        <v>1099.1715590192259</v>
      </c>
      <c r="C1106" s="7">
        <v>628.5700314476826</v>
      </c>
      <c r="D1106" s="7">
        <v>129</v>
      </c>
      <c r="E1106" s="7">
        <v>146</v>
      </c>
      <c r="F1106" s="7">
        <v>5809.7818181818184</v>
      </c>
      <c r="G1106" s="7">
        <v>2215.6304753051159</v>
      </c>
      <c r="H1106" s="7">
        <v>1761.734197761298</v>
      </c>
    </row>
    <row r="1107" spans="1:8" x14ac:dyDescent="0.3">
      <c r="A1107" s="7">
        <v>1104</v>
      </c>
      <c r="B1107" s="7">
        <v>2178.65673600931</v>
      </c>
      <c r="C1107" s="7">
        <v>749.75241338552405</v>
      </c>
      <c r="D1107" s="7">
        <v>128</v>
      </c>
      <c r="E1107" s="7">
        <v>146</v>
      </c>
      <c r="F1107" s="7">
        <v>5372.3029197080295</v>
      </c>
      <c r="G1107" s="7">
        <v>1931.828483344859</v>
      </c>
      <c r="H1107" s="7">
        <v>1636.337796288298</v>
      </c>
    </row>
    <row r="1108" spans="1:8" x14ac:dyDescent="0.3">
      <c r="A1108" s="7">
        <v>1105</v>
      </c>
      <c r="B1108" s="7">
        <v>927.51770907452249</v>
      </c>
      <c r="C1108" s="7">
        <v>543.40353056915842</v>
      </c>
      <c r="D1108" s="7">
        <v>129</v>
      </c>
      <c r="E1108" s="7">
        <v>146</v>
      </c>
      <c r="F1108" s="7">
        <v>5324.04</v>
      </c>
      <c r="G1108" s="7">
        <v>2433.391938340676</v>
      </c>
      <c r="H1108" s="7">
        <v>2022.5271964238141</v>
      </c>
    </row>
    <row r="1109" spans="1:8" x14ac:dyDescent="0.3">
      <c r="A1109" s="7">
        <v>1106</v>
      </c>
      <c r="B1109" s="7">
        <v>816.89051379431442</v>
      </c>
      <c r="C1109" s="7">
        <v>516.05892142381958</v>
      </c>
      <c r="D1109" s="7">
        <v>131</v>
      </c>
      <c r="E1109" s="7">
        <v>146</v>
      </c>
      <c r="F1109" s="7">
        <v>5020.6425992779787</v>
      </c>
      <c r="G1109" s="7">
        <v>1408.705347375806</v>
      </c>
      <c r="H1109" s="7">
        <v>1233.887874837593</v>
      </c>
    </row>
    <row r="1110" spans="1:8" x14ac:dyDescent="0.3">
      <c r="A1110" s="7">
        <v>1107</v>
      </c>
      <c r="B1110" s="7">
        <v>1785.0634202451481</v>
      </c>
      <c r="C1110" s="7">
        <v>903.0996068076646</v>
      </c>
      <c r="D1110" s="7">
        <v>128</v>
      </c>
      <c r="E1110" s="7">
        <v>146</v>
      </c>
      <c r="F1110" s="7">
        <v>6331.3357664233581</v>
      </c>
      <c r="G1110" s="7">
        <v>3311.5406488143849</v>
      </c>
      <c r="H1110" s="7">
        <v>2945.295776713906</v>
      </c>
    </row>
    <row r="1111" spans="1:8" x14ac:dyDescent="0.3">
      <c r="A1111" s="7">
        <v>1108</v>
      </c>
      <c r="B1111" s="7">
        <v>883.55894321198184</v>
      </c>
      <c r="C1111" s="7">
        <v>462.68913377020669</v>
      </c>
      <c r="D1111" s="7">
        <v>131</v>
      </c>
      <c r="E1111" s="7">
        <v>146</v>
      </c>
      <c r="F1111" s="7">
        <v>5889.7653429602888</v>
      </c>
      <c r="G1111" s="7">
        <v>2547.2775948133658</v>
      </c>
      <c r="H1111" s="7">
        <v>2225.162305916409</v>
      </c>
    </row>
    <row r="1112" spans="1:8" x14ac:dyDescent="0.3">
      <c r="A1112" s="7">
        <v>1109</v>
      </c>
      <c r="B1112" s="7">
        <v>2082.7433789788138</v>
      </c>
      <c r="C1112" s="7">
        <v>969.35476099895254</v>
      </c>
      <c r="D1112" s="7">
        <v>128</v>
      </c>
      <c r="E1112" s="7">
        <v>146</v>
      </c>
      <c r="F1112" s="7">
        <v>4915.9781021897807</v>
      </c>
      <c r="G1112" s="7">
        <v>1525.9288411079331</v>
      </c>
      <c r="H1112" s="7">
        <v>1443.731253213994</v>
      </c>
    </row>
    <row r="1113" spans="1:8" x14ac:dyDescent="0.3">
      <c r="A1113" s="7">
        <v>1110</v>
      </c>
      <c r="B1113" s="7">
        <v>732.90967314916475</v>
      </c>
      <c r="C1113" s="7">
        <v>443.26136764112351</v>
      </c>
      <c r="D1113" s="7">
        <v>131</v>
      </c>
      <c r="E1113" s="7">
        <v>144</v>
      </c>
      <c r="F1113" s="7">
        <v>5052.5745454545458</v>
      </c>
      <c r="G1113" s="7">
        <v>1826.2008597502829</v>
      </c>
      <c r="H1113" s="7">
        <v>1670.757868204327</v>
      </c>
    </row>
    <row r="1114" spans="1:8" x14ac:dyDescent="0.3">
      <c r="A1114" s="7">
        <v>1111</v>
      </c>
      <c r="B1114" s="7">
        <v>718.45485025264657</v>
      </c>
      <c r="C1114" s="7">
        <v>443.11321550788631</v>
      </c>
      <c r="D1114" s="7">
        <v>129</v>
      </c>
      <c r="E1114" s="7">
        <v>146</v>
      </c>
      <c r="F1114" s="7">
        <v>4941.3599999999997</v>
      </c>
      <c r="G1114" s="7">
        <v>1610.4679829263939</v>
      </c>
      <c r="H1114" s="7">
        <v>1554.3965705797659</v>
      </c>
    </row>
    <row r="1115" spans="1:8" x14ac:dyDescent="0.3">
      <c r="A1115" s="7">
        <v>1112</v>
      </c>
      <c r="B1115" s="7">
        <v>1273.567070771722</v>
      </c>
      <c r="C1115" s="7">
        <v>705.7085660027825</v>
      </c>
      <c r="D1115" s="7">
        <v>129</v>
      </c>
      <c r="E1115" s="7">
        <v>146</v>
      </c>
      <c r="F1115" s="7">
        <v>9344.8218181818174</v>
      </c>
      <c r="G1115" s="7">
        <v>3631.39962339677</v>
      </c>
      <c r="H1115" s="7">
        <v>3295.5040107594332</v>
      </c>
    </row>
    <row r="1116" spans="1:8" x14ac:dyDescent="0.3">
      <c r="A1116" s="7">
        <v>1113</v>
      </c>
      <c r="B1116" s="7">
        <v>1217.183124328169</v>
      </c>
      <c r="C1116" s="7">
        <v>672.73929609987954</v>
      </c>
      <c r="D1116" s="7">
        <v>131</v>
      </c>
      <c r="E1116" s="7">
        <v>146</v>
      </c>
      <c r="F1116" s="7">
        <v>6596.9061371841153</v>
      </c>
      <c r="G1116" s="7">
        <v>1982.922228652827</v>
      </c>
      <c r="H1116" s="7">
        <v>1673.613427321133</v>
      </c>
    </row>
    <row r="1117" spans="1:8" x14ac:dyDescent="0.3">
      <c r="A1117" s="7">
        <v>1114</v>
      </c>
      <c r="B1117" s="7">
        <v>2323.7511034414142</v>
      </c>
      <c r="C1117" s="7">
        <v>1937.033892429027</v>
      </c>
      <c r="D1117" s="7">
        <v>131</v>
      </c>
      <c r="E1117" s="7">
        <v>146</v>
      </c>
      <c r="F1117" s="7">
        <v>21331.48014440433</v>
      </c>
      <c r="G1117" s="7">
        <v>5042.0507512941549</v>
      </c>
      <c r="H1117" s="7">
        <v>4122.6939465248124</v>
      </c>
    </row>
    <row r="1118" spans="1:8" x14ac:dyDescent="0.3">
      <c r="A1118" s="7">
        <v>1115</v>
      </c>
      <c r="B1118" s="7">
        <v>1124.5437795598359</v>
      </c>
      <c r="C1118" s="7">
        <v>739.17875102182734</v>
      </c>
      <c r="D1118" s="7">
        <v>129</v>
      </c>
      <c r="E1118" s="7">
        <v>146</v>
      </c>
      <c r="F1118" s="7">
        <v>7108.221818181818</v>
      </c>
      <c r="G1118" s="7">
        <v>2432.830797635233</v>
      </c>
      <c r="H1118" s="7">
        <v>2173.5536916959131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18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16" customWidth="1"/>
    <col min="3" max="4" width="18" customWidth="1"/>
    <col min="5" max="5" width="16" customWidth="1"/>
    <col min="6" max="7" width="20" customWidth="1"/>
    <col min="10" max="10" width="58" customWidth="1"/>
    <col min="11" max="11" width="16" customWidth="1"/>
  </cols>
  <sheetData>
    <row r="1" spans="1:11" ht="15.6" x14ac:dyDescent="0.3">
      <c r="A1" s="4" t="s">
        <v>52</v>
      </c>
    </row>
    <row r="3" spans="1:11" ht="28.8" x14ac:dyDescent="0.3">
      <c r="A3" s="5" t="s">
        <v>44</v>
      </c>
      <c r="B3" s="5" t="s">
        <v>53</v>
      </c>
      <c r="C3" s="5" t="s">
        <v>54</v>
      </c>
      <c r="D3" s="5" t="s">
        <v>55</v>
      </c>
      <c r="E3" s="5" t="s">
        <v>56</v>
      </c>
      <c r="F3" s="5" t="s">
        <v>57</v>
      </c>
      <c r="G3" s="5" t="s">
        <v>58</v>
      </c>
    </row>
    <row r="4" spans="1:11" x14ac:dyDescent="0.3">
      <c r="A4">
        <f>Data_inputs!A4</f>
        <v>1</v>
      </c>
      <c r="B4">
        <f>Data_inputs!B4-Data_inputs!C4</f>
        <v>412.1360727903284</v>
      </c>
      <c r="C4">
        <f>Data_inputs!B4*K_factor</f>
        <v>1801.4487245636958</v>
      </c>
      <c r="D4">
        <f>Data_inputs!C4*K_factor</f>
        <v>923.88882103687661</v>
      </c>
      <c r="E4">
        <f t="shared" ref="E4:E67" si="0">C4-D4</f>
        <v>877.5599035268192</v>
      </c>
      <c r="F4">
        <f>Data_inputs!G4-Data_inputs!H4</f>
        <v>363.1473304982469</v>
      </c>
      <c r="G4">
        <f t="shared" ref="G4:G67" si="1">F4*K_factor</f>
        <v>773.24834528665895</v>
      </c>
      <c r="J4" t="s">
        <v>59</v>
      </c>
      <c r="K4">
        <f>AVERAGE(E4:E1118)</f>
        <v>977.11742735988662</v>
      </c>
    </row>
    <row r="5" spans="1:11" x14ac:dyDescent="0.3">
      <c r="A5">
        <f>Data_inputs!A5</f>
        <v>2</v>
      </c>
      <c r="B5">
        <f>Data_inputs!B5-Data_inputs!C5</f>
        <v>289.66581307555481</v>
      </c>
      <c r="C5">
        <f>Data_inputs!B5*K_factor</f>
        <v>1589.7223571693478</v>
      </c>
      <c r="D5">
        <f>Data_inputs!C5*K_factor</f>
        <v>972.93795085283557</v>
      </c>
      <c r="E5">
        <f t="shared" si="0"/>
        <v>616.78440631651222</v>
      </c>
      <c r="F5">
        <f>Data_inputs!G5-Data_inputs!H5</f>
        <v>276.11951381150993</v>
      </c>
      <c r="G5">
        <f t="shared" si="1"/>
        <v>587.94031850149463</v>
      </c>
      <c r="J5" t="s">
        <v>60</v>
      </c>
      <c r="K5">
        <f>STDEV(E4:E1118)</f>
        <v>702.70208038097985</v>
      </c>
    </row>
    <row r="6" spans="1:11" x14ac:dyDescent="0.3">
      <c r="A6">
        <f>Data_inputs!A6</f>
        <v>3</v>
      </c>
      <c r="B6">
        <f>Data_inputs!B6-Data_inputs!C6</f>
        <v>309.89337913035877</v>
      </c>
      <c r="C6">
        <f>Data_inputs!B6*K_factor</f>
        <v>1998.3574940231092</v>
      </c>
      <c r="D6">
        <f>Data_inputs!C6*K_factor</f>
        <v>1338.5026017977677</v>
      </c>
      <c r="E6">
        <f t="shared" si="0"/>
        <v>659.85489222534147</v>
      </c>
      <c r="F6">
        <f>Data_inputs!G6-Data_inputs!H6</f>
        <v>297.01144039117617</v>
      </c>
      <c r="G6">
        <f t="shared" si="1"/>
        <v>632.42542496066289</v>
      </c>
      <c r="J6" t="s">
        <v>61</v>
      </c>
      <c r="K6">
        <f>COUNT(E4:E1118)</f>
        <v>1115</v>
      </c>
    </row>
    <row r="7" spans="1:11" x14ac:dyDescent="0.3">
      <c r="A7">
        <f>Data_inputs!A7</f>
        <v>4</v>
      </c>
      <c r="B7">
        <f>Data_inputs!B7-Data_inputs!C7</f>
        <v>527.1352074937796</v>
      </c>
      <c r="C7">
        <f>Data_inputs!B7*K_factor</f>
        <v>2897.5734891450716</v>
      </c>
      <c r="D7">
        <f>Data_inputs!C7*K_factor</f>
        <v>1775.1463288582015</v>
      </c>
      <c r="E7">
        <f t="shared" si="0"/>
        <v>1122.42716028687</v>
      </c>
      <c r="F7">
        <f>Data_inputs!G7-Data_inputs!H7</f>
        <v>717.05300352495397</v>
      </c>
      <c r="G7">
        <f t="shared" si="1"/>
        <v>1526.8184615257035</v>
      </c>
      <c r="J7" t="s">
        <v>62</v>
      </c>
      <c r="K7">
        <f>K4-TINV(0.05,K6-1)*K5/SQRT(K6)</f>
        <v>935.82655991590389</v>
      </c>
    </row>
    <row r="8" spans="1:11" x14ac:dyDescent="0.3">
      <c r="A8">
        <f>Data_inputs!A8</f>
        <v>5</v>
      </c>
      <c r="B8">
        <f>Data_inputs!B8-Data_inputs!C8</f>
        <v>240.95423774616995</v>
      </c>
      <c r="C8">
        <f>Data_inputs!B8*K_factor</f>
        <v>1346.4937817626726</v>
      </c>
      <c r="D8">
        <f>Data_inputs!C8*K_factor</f>
        <v>833.43076303855833</v>
      </c>
      <c r="E8">
        <f t="shared" si="0"/>
        <v>513.06301872411427</v>
      </c>
      <c r="F8">
        <f>Data_inputs!G8-Data_inputs!H8</f>
        <v>229.290924418754</v>
      </c>
      <c r="G8">
        <f t="shared" si="1"/>
        <v>488.22836630188533</v>
      </c>
      <c r="J8" t="s">
        <v>63</v>
      </c>
      <c r="K8">
        <f>K4+TINV(0.05,K6-1)*K5/SQRT(K6)</f>
        <v>1018.4082948038694</v>
      </c>
    </row>
    <row r="9" spans="1:11" x14ac:dyDescent="0.3">
      <c r="A9">
        <f>Data_inputs!A9</f>
        <v>6</v>
      </c>
      <c r="B9">
        <f>Data_inputs!B9-Data_inputs!C9</f>
        <v>394.62360623972489</v>
      </c>
      <c r="C9">
        <f>Data_inputs!B9*K_factor</f>
        <v>1634.3804533111766</v>
      </c>
      <c r="D9">
        <f>Data_inputs!C9*K_factor</f>
        <v>794.10978378082632</v>
      </c>
      <c r="E9">
        <f t="shared" si="0"/>
        <v>840.27066953035023</v>
      </c>
      <c r="F9">
        <f>Data_inputs!G9-Data_inputs!H9</f>
        <v>226.99471249454518</v>
      </c>
      <c r="G9">
        <f t="shared" si="1"/>
        <v>483.33905025380682</v>
      </c>
      <c r="J9" t="s">
        <v>64</v>
      </c>
      <c r="K9" s="7">
        <v>934.39035001119566</v>
      </c>
    </row>
    <row r="10" spans="1:11" x14ac:dyDescent="0.3">
      <c r="A10">
        <f>Data_inputs!A10</f>
        <v>7</v>
      </c>
      <c r="B10">
        <f>Data_inputs!B10-Data_inputs!C10</f>
        <v>280.01319231313323</v>
      </c>
      <c r="C10">
        <f>Data_inputs!B10*K_factor</f>
        <v>2680.0429722958838</v>
      </c>
      <c r="D10">
        <f>Data_inputs!C10*K_factor</f>
        <v>2083.8118577300825</v>
      </c>
      <c r="E10">
        <f t="shared" si="0"/>
        <v>596.23111456580136</v>
      </c>
      <c r="F10">
        <f>Data_inputs!G10-Data_inputs!H10</f>
        <v>139.61164617970326</v>
      </c>
      <c r="G10">
        <f t="shared" si="1"/>
        <v>297.27459167353896</v>
      </c>
      <c r="J10" t="s">
        <v>65</v>
      </c>
      <c r="K10" s="7">
        <v>1017.738286286109</v>
      </c>
    </row>
    <row r="11" spans="1:11" x14ac:dyDescent="0.3">
      <c r="A11">
        <f>Data_inputs!A11</f>
        <v>8</v>
      </c>
      <c r="B11">
        <f>Data_inputs!B11-Data_inputs!C11</f>
        <v>277.81737080453286</v>
      </c>
      <c r="C11">
        <f>Data_inputs!B11*K_factor</f>
        <v>1772.6283753972873</v>
      </c>
      <c r="D11">
        <f>Data_inputs!C11*K_factor</f>
        <v>1181.0728159174628</v>
      </c>
      <c r="E11">
        <f t="shared" si="0"/>
        <v>591.55555947982452</v>
      </c>
      <c r="F11">
        <f>Data_inputs!G11-Data_inputs!H11</f>
        <v>238.21105874325804</v>
      </c>
      <c r="G11">
        <f t="shared" si="1"/>
        <v>507.22197723300241</v>
      </c>
      <c r="J11" t="s">
        <v>66</v>
      </c>
      <c r="K11">
        <f>AVERAGE(G4:G1118)</f>
        <v>603.63856485561962</v>
      </c>
    </row>
    <row r="12" spans="1:11" x14ac:dyDescent="0.3">
      <c r="A12">
        <f>Data_inputs!A12</f>
        <v>9</v>
      </c>
      <c r="B12">
        <f>Data_inputs!B12-Data_inputs!C12</f>
        <v>226.35432588730851</v>
      </c>
      <c r="C12">
        <f>Data_inputs!B12*K_factor</f>
        <v>1806.6870113316538</v>
      </c>
      <c r="D12">
        <f>Data_inputs!C12*K_factor</f>
        <v>1324.7115340489331</v>
      </c>
      <c r="E12">
        <f t="shared" si="0"/>
        <v>481.9754772827207</v>
      </c>
      <c r="F12">
        <f>Data_inputs!G12-Data_inputs!H12</f>
        <v>164.0476681954699</v>
      </c>
      <c r="G12">
        <f t="shared" si="1"/>
        <v>349.30612819386903</v>
      </c>
      <c r="J12" t="s">
        <v>67</v>
      </c>
      <c r="K12">
        <f>AVERAGE(B4:B1118)</f>
        <v>458.89213664920527</v>
      </c>
    </row>
    <row r="13" spans="1:11" x14ac:dyDescent="0.3">
      <c r="A13">
        <f>Data_inputs!A13</f>
        <v>10</v>
      </c>
      <c r="B13">
        <f>Data_inputs!B13-Data_inputs!C13</f>
        <v>164.30411030943367</v>
      </c>
      <c r="C13">
        <f>Data_inputs!B13*K_factor</f>
        <v>1555.9746227766282</v>
      </c>
      <c r="D13">
        <f>Data_inputs!C13*K_factor</f>
        <v>1206.1224532831791</v>
      </c>
      <c r="E13">
        <f t="shared" si="0"/>
        <v>349.85216949344908</v>
      </c>
      <c r="F13">
        <f>Data_inputs!G13-Data_inputs!H13</f>
        <v>105.92298868552007</v>
      </c>
      <c r="G13">
        <f t="shared" si="1"/>
        <v>225.54145067380932</v>
      </c>
    </row>
    <row r="14" spans="1:11" x14ac:dyDescent="0.3">
      <c r="A14">
        <f>Data_inputs!A14</f>
        <v>11</v>
      </c>
      <c r="B14">
        <f>Data_inputs!B14-Data_inputs!C14</f>
        <v>641.64189180536994</v>
      </c>
      <c r="C14">
        <f>Data_inputs!B14*K_factor</f>
        <v>3333.7255311615036</v>
      </c>
      <c r="D14">
        <f>Data_inputs!C14*K_factor</f>
        <v>1967.479687017817</v>
      </c>
      <c r="E14">
        <f t="shared" si="0"/>
        <v>1366.2458441436866</v>
      </c>
      <c r="F14">
        <f>Data_inputs!G14-Data_inputs!H14</f>
        <v>595.20679385911399</v>
      </c>
      <c r="G14">
        <f t="shared" si="1"/>
        <v>1267.3717519098195</v>
      </c>
      <c r="J14" s="8" t="s">
        <v>68</v>
      </c>
    </row>
    <row r="15" spans="1:11" x14ac:dyDescent="0.3">
      <c r="A15">
        <f>Data_inputs!A15</f>
        <v>12</v>
      </c>
      <c r="B15">
        <f>Data_inputs!B15-Data_inputs!C15</f>
        <v>290.19735498627722</v>
      </c>
      <c r="C15">
        <f>Data_inputs!B15*K_factor</f>
        <v>2347.6936087223207</v>
      </c>
      <c r="D15">
        <f>Data_inputs!C15*K_factor</f>
        <v>1729.7773920676943</v>
      </c>
      <c r="E15">
        <f t="shared" si="0"/>
        <v>617.9162166546264</v>
      </c>
      <c r="F15">
        <f>Data_inputs!G15-Data_inputs!H15</f>
        <v>262.58732176193507</v>
      </c>
      <c r="G15">
        <f t="shared" si="1"/>
        <v>559.12626912908559</v>
      </c>
      <c r="J15" t="s">
        <v>69</v>
      </c>
      <c r="K15">
        <f>AVERAGE(Data_inputs!B4:B1118)</f>
        <v>1204.3605256063481</v>
      </c>
    </row>
    <row r="16" spans="1:11" x14ac:dyDescent="0.3">
      <c r="A16">
        <f>Data_inputs!A16</f>
        <v>13</v>
      </c>
      <c r="B16">
        <f>Data_inputs!B16-Data_inputs!C16</f>
        <v>1123.5888983827449</v>
      </c>
      <c r="C16">
        <f>Data_inputs!B16*K_factor</f>
        <v>4431.456513653543</v>
      </c>
      <c r="D16">
        <f>Data_inputs!C16*K_factor</f>
        <v>2039.0025879565408</v>
      </c>
      <c r="E16">
        <f t="shared" si="0"/>
        <v>2392.453925697002</v>
      </c>
      <c r="F16">
        <f>Data_inputs!G16-Data_inputs!H16</f>
        <v>-41.943748461219911</v>
      </c>
      <c r="G16">
        <f t="shared" si="1"/>
        <v>-89.310677427421467</v>
      </c>
      <c r="J16" t="s">
        <v>70</v>
      </c>
      <c r="K16">
        <f>AVERAGE(Data_inputs!C4:C1118)</f>
        <v>745.46838895714291</v>
      </c>
    </row>
    <row r="17" spans="1:11" x14ac:dyDescent="0.3">
      <c r="A17">
        <f>Data_inputs!A17</f>
        <v>14</v>
      </c>
      <c r="B17">
        <f>Data_inputs!B17-Data_inputs!C17</f>
        <v>263.50857412061333</v>
      </c>
      <c r="C17">
        <f>Data_inputs!B17*K_factor</f>
        <v>1620.205949139407</v>
      </c>
      <c r="D17">
        <f>Data_inputs!C17*K_factor</f>
        <v>1059.1180605734885</v>
      </c>
      <c r="E17">
        <f t="shared" si="0"/>
        <v>561.08788856591855</v>
      </c>
      <c r="F17">
        <f>Data_inputs!G17-Data_inputs!H17</f>
        <v>207.62227201944688</v>
      </c>
      <c r="G17">
        <f t="shared" si="1"/>
        <v>442.08938026179135</v>
      </c>
      <c r="J17" t="s">
        <v>71</v>
      </c>
      <c r="K17">
        <f>ServiceZ*K15*SQRT(ReviewPeriod_R+LeadTime_L)</f>
        <v>6862.3741406800682</v>
      </c>
    </row>
    <row r="18" spans="1:11" x14ac:dyDescent="0.3">
      <c r="A18">
        <f>Data_inputs!A18</f>
        <v>15</v>
      </c>
      <c r="B18">
        <f>Data_inputs!B18-Data_inputs!C18</f>
        <v>456.56027594588875</v>
      </c>
      <c r="C18">
        <f>Data_inputs!B18*K_factor</f>
        <v>2363.3385778006609</v>
      </c>
      <c r="D18">
        <f>Data_inputs!C18*K_factor</f>
        <v>1391.186373309974</v>
      </c>
      <c r="E18">
        <f t="shared" si="0"/>
        <v>972.15220449068693</v>
      </c>
      <c r="F18">
        <f>Data_inputs!G18-Data_inputs!H18</f>
        <v>333.00698988898694</v>
      </c>
      <c r="G18">
        <f t="shared" si="1"/>
        <v>709.07062306435807</v>
      </c>
      <c r="J18" t="s">
        <v>72</v>
      </c>
      <c r="K18">
        <f>K17*UnitCost_c*HoldRate_h</f>
        <v>1200.9154746190118</v>
      </c>
    </row>
    <row r="19" spans="1:11" x14ac:dyDescent="0.3">
      <c r="A19">
        <f>Data_inputs!A19</f>
        <v>16</v>
      </c>
      <c r="B19">
        <f>Data_inputs!B19-Data_inputs!C19</f>
        <v>239.79490562393676</v>
      </c>
      <c r="C19">
        <f>Data_inputs!B19*K_factor</f>
        <v>2038.3357321105443</v>
      </c>
      <c r="D19">
        <f>Data_inputs!C19*K_factor</f>
        <v>1527.7412752341093</v>
      </c>
      <c r="E19">
        <f t="shared" si="0"/>
        <v>510.59445687643506</v>
      </c>
      <c r="F19">
        <f>Data_inputs!G19-Data_inputs!H19</f>
        <v>351.50793049153299</v>
      </c>
      <c r="G19">
        <f t="shared" si="1"/>
        <v>748.46461141486463</v>
      </c>
      <c r="J19" t="s">
        <v>73</v>
      </c>
      <c r="K19">
        <f>K15*SQRT(ReviewPeriod_R+LeadTime_L)*LossFn_Lz</f>
        <v>87.165994229149149</v>
      </c>
    </row>
    <row r="20" spans="1:11" x14ac:dyDescent="0.3">
      <c r="A20">
        <f>Data_inputs!A20</f>
        <v>17</v>
      </c>
      <c r="B20">
        <f>Data_inputs!B20-Data_inputs!C20</f>
        <v>235.95091163217069</v>
      </c>
      <c r="C20">
        <f>Data_inputs!B20*K_factor</f>
        <v>1662.8761252374402</v>
      </c>
      <c r="D20">
        <f>Data_inputs!C20*K_factor</f>
        <v>1160.4666713716201</v>
      </c>
      <c r="E20">
        <f t="shared" si="0"/>
        <v>502.40945386582007</v>
      </c>
      <c r="F20">
        <f>Data_inputs!G20-Data_inputs!H20</f>
        <v>240.41743831082294</v>
      </c>
      <c r="G20">
        <f t="shared" si="1"/>
        <v>511.92001355713859</v>
      </c>
      <c r="J20" t="s">
        <v>74</v>
      </c>
      <c r="K20">
        <f>(365/ReviewPeriod_R)*K19*Margin_m*UnitPrice_p</f>
        <v>1363.5251954416904</v>
      </c>
    </row>
    <row r="21" spans="1:11" x14ac:dyDescent="0.3">
      <c r="A21">
        <f>Data_inputs!A21</f>
        <v>18</v>
      </c>
      <c r="B21">
        <f>Data_inputs!B21-Data_inputs!C21</f>
        <v>300.20998092559194</v>
      </c>
      <c r="C21">
        <f>Data_inputs!B21*K_factor</f>
        <v>2005.7218581574591</v>
      </c>
      <c r="D21">
        <f>Data_inputs!C21*K_factor</f>
        <v>1366.4857919835567</v>
      </c>
      <c r="E21">
        <f t="shared" si="0"/>
        <v>639.23606617390237</v>
      </c>
      <c r="F21">
        <f>Data_inputs!G21-Data_inputs!H21</f>
        <v>190.19162407712111</v>
      </c>
      <c r="G21">
        <f t="shared" si="1"/>
        <v>404.9743623427961</v>
      </c>
      <c r="J21" t="s">
        <v>75</v>
      </c>
      <c r="K21">
        <f>K18+K20</f>
        <v>2564.4406700607024</v>
      </c>
    </row>
    <row r="22" spans="1:11" x14ac:dyDescent="0.3">
      <c r="A22">
        <f>Data_inputs!A22</f>
        <v>19</v>
      </c>
      <c r="B22">
        <f>Data_inputs!B22-Data_inputs!C22</f>
        <v>291.64527444872783</v>
      </c>
      <c r="C22">
        <f>Data_inputs!B22*K_factor</f>
        <v>2133.4833142409725</v>
      </c>
      <c r="D22">
        <f>Data_inputs!C22*K_factor</f>
        <v>1512.4840477208486</v>
      </c>
      <c r="E22">
        <f t="shared" si="0"/>
        <v>620.99926652012391</v>
      </c>
      <c r="F22">
        <f>Data_inputs!G22-Data_inputs!H22</f>
        <v>353.02120803621301</v>
      </c>
      <c r="G22">
        <f t="shared" si="1"/>
        <v>751.68682801708462</v>
      </c>
      <c r="J22" t="s">
        <v>76</v>
      </c>
      <c r="K22">
        <f>ServiceZ*K16*SQRT(ReviewPeriod_R+LeadTime_L)</f>
        <v>4247.6342310359132</v>
      </c>
    </row>
    <row r="23" spans="1:11" x14ac:dyDescent="0.3">
      <c r="A23">
        <f>Data_inputs!A23</f>
        <v>20</v>
      </c>
      <c r="B23">
        <f>Data_inputs!B23-Data_inputs!C23</f>
        <v>129.29631245328096</v>
      </c>
      <c r="C23">
        <f>Data_inputs!B23*K_factor</f>
        <v>3681.8092023009203</v>
      </c>
      <c r="D23">
        <f>Data_inputs!C23*K_factor</f>
        <v>3406.4990147828298</v>
      </c>
      <c r="E23">
        <f t="shared" si="0"/>
        <v>275.31018751809052</v>
      </c>
      <c r="F23">
        <f>Data_inputs!G23-Data_inputs!H23</f>
        <v>47.6069921129249</v>
      </c>
      <c r="G23">
        <f t="shared" si="1"/>
        <v>101.36940239898559</v>
      </c>
      <c r="J23" t="s">
        <v>77</v>
      </c>
      <c r="K23">
        <f>K22*UnitCost_c*HoldRate_h</f>
        <v>743.33599043128481</v>
      </c>
    </row>
    <row r="24" spans="1:11" x14ac:dyDescent="0.3">
      <c r="A24">
        <f>Data_inputs!A24</f>
        <v>21</v>
      </c>
      <c r="B24">
        <f>Data_inputs!B24-Data_inputs!C24</f>
        <v>234.45549020559929</v>
      </c>
      <c r="C24">
        <f>Data_inputs!B24*K_factor</f>
        <v>2047.5152011939476</v>
      </c>
      <c r="D24">
        <f>Data_inputs!C24*K_factor</f>
        <v>1548.2899429602862</v>
      </c>
      <c r="E24">
        <f t="shared" si="0"/>
        <v>499.22525823366141</v>
      </c>
      <c r="F24">
        <f>Data_inputs!G24-Data_inputs!H24</f>
        <v>277.48046443702879</v>
      </c>
      <c r="G24">
        <f t="shared" si="1"/>
        <v>590.83818592559339</v>
      </c>
      <c r="J24" t="s">
        <v>78</v>
      </c>
      <c r="K24">
        <f>K16*SQRT(ReviewPeriod_R+LeadTime_L)*LossFn_Lz</f>
        <v>53.953522976134423</v>
      </c>
    </row>
    <row r="25" spans="1:11" x14ac:dyDescent="0.3">
      <c r="A25">
        <f>Data_inputs!A25</f>
        <v>22</v>
      </c>
      <c r="B25">
        <f>Data_inputs!B25-Data_inputs!C25</f>
        <v>1172.1142795481387</v>
      </c>
      <c r="C25">
        <f>Data_inputs!B25*K_factor</f>
        <v>4494.9670117719279</v>
      </c>
      <c r="D25">
        <f>Data_inputs!C25*K_factor</f>
        <v>1999.1881610670407</v>
      </c>
      <c r="E25">
        <f t="shared" si="0"/>
        <v>2495.7788507048872</v>
      </c>
      <c r="F25">
        <f>Data_inputs!G25-Data_inputs!H25</f>
        <v>-77.555993160621938</v>
      </c>
      <c r="G25">
        <f t="shared" si="1"/>
        <v>-165.13970595965557</v>
      </c>
      <c r="J25" t="s">
        <v>79</v>
      </c>
      <c r="K25">
        <f>(365/ReviewPeriod_R)*K24*Margin_m*UnitPrice_p</f>
        <v>843.98725226953138</v>
      </c>
    </row>
    <row r="26" spans="1:11" x14ac:dyDescent="0.3">
      <c r="A26">
        <f>Data_inputs!A26</f>
        <v>23</v>
      </c>
      <c r="B26">
        <f>Data_inputs!B26-Data_inputs!C26</f>
        <v>463.58008546624217</v>
      </c>
      <c r="C26">
        <f>Data_inputs!B26*K_factor</f>
        <v>2008.2384984053781</v>
      </c>
      <c r="D26">
        <f>Data_inputs!C26*K_factor</f>
        <v>1021.1390379665517</v>
      </c>
      <c r="E26">
        <f t="shared" si="0"/>
        <v>987.09946043882644</v>
      </c>
      <c r="F26">
        <f>Data_inputs!G26-Data_inputs!H26</f>
        <v>289.87303844627422</v>
      </c>
      <c r="G26">
        <f t="shared" si="1"/>
        <v>617.22565057621887</v>
      </c>
      <c r="J26" t="s">
        <v>80</v>
      </c>
      <c r="K26">
        <f>K23+K25</f>
        <v>1587.3232427008161</v>
      </c>
    </row>
    <row r="27" spans="1:11" x14ac:dyDescent="0.3">
      <c r="A27">
        <f>Data_inputs!A27</f>
        <v>24</v>
      </c>
      <c r="B27">
        <f>Data_inputs!B27-Data_inputs!C27</f>
        <v>514.0115661490687</v>
      </c>
      <c r="C27">
        <f>Data_inputs!B27*K_factor</f>
        <v>2827.9200709543329</v>
      </c>
      <c r="D27">
        <f>Data_inputs!C27*K_factor</f>
        <v>1733.4370344477759</v>
      </c>
      <c r="E27">
        <f t="shared" si="0"/>
        <v>1094.483036506557</v>
      </c>
      <c r="F27">
        <f>Data_inputs!G27-Data_inputs!H27</f>
        <v>504.19536028768198</v>
      </c>
      <c r="G27">
        <f t="shared" si="1"/>
        <v>1073.5814235747025</v>
      </c>
      <c r="J27" s="8" t="s">
        <v>81</v>
      </c>
      <c r="K27" s="8">
        <f>K21-K26</f>
        <v>977.11742735988628</v>
      </c>
    </row>
    <row r="28" spans="1:11" x14ac:dyDescent="0.3">
      <c r="A28">
        <f>Data_inputs!A28</f>
        <v>25</v>
      </c>
      <c r="B28">
        <f>Data_inputs!B28-Data_inputs!C28</f>
        <v>234.0725169918519</v>
      </c>
      <c r="C28">
        <f>Data_inputs!B28*K_factor</f>
        <v>3361.3948579738089</v>
      </c>
      <c r="D28">
        <f>Data_inputs!C28*K_factor</f>
        <v>2862.9850632695448</v>
      </c>
      <c r="E28">
        <f t="shared" si="0"/>
        <v>498.40979470426419</v>
      </c>
      <c r="F28">
        <f>Data_inputs!G28-Data_inputs!H28</f>
        <v>499.12457547017993</v>
      </c>
      <c r="G28">
        <f t="shared" si="1"/>
        <v>1062.7842191341288</v>
      </c>
    </row>
    <row r="29" spans="1:11" x14ac:dyDescent="0.3">
      <c r="A29">
        <f>Data_inputs!A29</f>
        <v>26</v>
      </c>
      <c r="B29">
        <f>Data_inputs!B29-Data_inputs!C29</f>
        <v>399.80311525659658</v>
      </c>
      <c r="C29">
        <f>Data_inputs!B29*K_factor</f>
        <v>2168.0487125017557</v>
      </c>
      <c r="D29">
        <f>Data_inputs!C29*K_factor</f>
        <v>1316.7493324720103</v>
      </c>
      <c r="E29">
        <f t="shared" si="0"/>
        <v>851.29938002974541</v>
      </c>
      <c r="F29">
        <f>Data_inputs!G29-Data_inputs!H29</f>
        <v>265.95859758195411</v>
      </c>
      <c r="G29">
        <f t="shared" si="1"/>
        <v>566.3047149839897</v>
      </c>
    </row>
    <row r="30" spans="1:11" x14ac:dyDescent="0.3">
      <c r="A30">
        <f>Data_inputs!A30</f>
        <v>27</v>
      </c>
      <c r="B30">
        <f>Data_inputs!B30-Data_inputs!C30</f>
        <v>405.97831280973969</v>
      </c>
      <c r="C30">
        <f>Data_inputs!B30*K_factor</f>
        <v>2514.3637040000694</v>
      </c>
      <c r="D30">
        <f>Data_inputs!C30*K_factor</f>
        <v>1649.9154973405514</v>
      </c>
      <c r="E30">
        <f t="shared" si="0"/>
        <v>864.44820665951806</v>
      </c>
      <c r="F30">
        <f>Data_inputs!G30-Data_inputs!H30</f>
        <v>479.86829734643197</v>
      </c>
      <c r="G30">
        <f t="shared" si="1"/>
        <v>1021.7818932320259</v>
      </c>
    </row>
    <row r="31" spans="1:11" x14ac:dyDescent="0.3">
      <c r="A31">
        <f>Data_inputs!A31</f>
        <v>28</v>
      </c>
      <c r="B31">
        <f>Data_inputs!B31-Data_inputs!C31</f>
        <v>108.17240228367211</v>
      </c>
      <c r="C31">
        <f>Data_inputs!B31*K_factor</f>
        <v>1328.9093799637787</v>
      </c>
      <c r="D31">
        <f>Data_inputs!C31*K_factor</f>
        <v>1098.5782607544745</v>
      </c>
      <c r="E31">
        <f t="shared" si="0"/>
        <v>230.33111920930423</v>
      </c>
      <c r="F31">
        <f>Data_inputs!G31-Data_inputs!H31</f>
        <v>281.48468902217314</v>
      </c>
      <c r="G31">
        <f t="shared" si="1"/>
        <v>599.36436738029636</v>
      </c>
    </row>
    <row r="32" spans="1:11" x14ac:dyDescent="0.3">
      <c r="A32">
        <f>Data_inputs!A32</f>
        <v>29</v>
      </c>
      <c r="B32">
        <f>Data_inputs!B32-Data_inputs!C32</f>
        <v>430.30143928225175</v>
      </c>
      <c r="C32">
        <f>Data_inputs!B32*K_factor</f>
        <v>2430.5828105968239</v>
      </c>
      <c r="D32">
        <f>Data_inputs!C32*K_factor</f>
        <v>1514.3434555037945</v>
      </c>
      <c r="E32">
        <f t="shared" si="0"/>
        <v>916.23935509302942</v>
      </c>
      <c r="F32">
        <f>Data_inputs!G32-Data_inputs!H32</f>
        <v>323.29233251732603</v>
      </c>
      <c r="G32">
        <f t="shared" si="1"/>
        <v>688.38523697778771</v>
      </c>
    </row>
    <row r="33" spans="1:7" x14ac:dyDescent="0.3">
      <c r="A33">
        <f>Data_inputs!A33</f>
        <v>30</v>
      </c>
      <c r="B33">
        <f>Data_inputs!B33-Data_inputs!C33</f>
        <v>279.45435019907256</v>
      </c>
      <c r="C33">
        <f>Data_inputs!B33*K_factor</f>
        <v>1731.4999203749808</v>
      </c>
      <c r="D33">
        <f>Data_inputs!C33*K_factor</f>
        <v>1136.4587463751225</v>
      </c>
      <c r="E33">
        <f t="shared" si="0"/>
        <v>595.0411739998583</v>
      </c>
      <c r="F33">
        <f>Data_inputs!G33-Data_inputs!H33</f>
        <v>188.25605758257211</v>
      </c>
      <c r="G33">
        <f t="shared" si="1"/>
        <v>400.85296735126792</v>
      </c>
    </row>
    <row r="34" spans="1:7" x14ac:dyDescent="0.3">
      <c r="A34">
        <f>Data_inputs!A34</f>
        <v>31</v>
      </c>
      <c r="B34">
        <f>Data_inputs!B34-Data_inputs!C34</f>
        <v>382.5458908588879</v>
      </c>
      <c r="C34">
        <f>Data_inputs!B34*K_factor</f>
        <v>2126.194202794773</v>
      </c>
      <c r="D34">
        <f>Data_inputs!C34*K_factor</f>
        <v>1311.6405705348384</v>
      </c>
      <c r="E34">
        <f t="shared" si="0"/>
        <v>814.5536322599346</v>
      </c>
      <c r="F34">
        <f>Data_inputs!G34-Data_inputs!H34</f>
        <v>297.38712859753605</v>
      </c>
      <c r="G34">
        <f t="shared" si="1"/>
        <v>633.22537654921769</v>
      </c>
    </row>
    <row r="35" spans="1:7" x14ac:dyDescent="0.3">
      <c r="A35">
        <f>Data_inputs!A35</f>
        <v>32</v>
      </c>
      <c r="B35">
        <f>Data_inputs!B35-Data_inputs!C35</f>
        <v>1246.1548678245822</v>
      </c>
      <c r="C35">
        <f>Data_inputs!B35*K_factor</f>
        <v>4823.2439277955209</v>
      </c>
      <c r="D35">
        <f>Data_inputs!C35*K_factor</f>
        <v>2169.8107104999167</v>
      </c>
      <c r="E35">
        <f t="shared" si="0"/>
        <v>2653.4332172956042</v>
      </c>
      <c r="F35">
        <f>Data_inputs!G35-Data_inputs!H35</f>
        <v>9.7939525161650636</v>
      </c>
      <c r="G35">
        <f t="shared" si="1"/>
        <v>20.854228961425079</v>
      </c>
    </row>
    <row r="36" spans="1:7" x14ac:dyDescent="0.3">
      <c r="A36">
        <f>Data_inputs!A36</f>
        <v>33</v>
      </c>
      <c r="B36">
        <f>Data_inputs!B36-Data_inputs!C36</f>
        <v>332.17548552125743</v>
      </c>
      <c r="C36">
        <f>Data_inputs!B36*K_factor</f>
        <v>2256.5198688651617</v>
      </c>
      <c r="D36">
        <f>Data_inputs!C36*K_factor</f>
        <v>1549.2197651532751</v>
      </c>
      <c r="E36">
        <f t="shared" si="0"/>
        <v>707.30010371188655</v>
      </c>
      <c r="F36">
        <f>Data_inputs!G36-Data_inputs!H36</f>
        <v>242.44553054798007</v>
      </c>
      <c r="G36">
        <f t="shared" si="1"/>
        <v>516.23842328995647</v>
      </c>
    </row>
    <row r="37" spans="1:7" x14ac:dyDescent="0.3">
      <c r="A37">
        <f>Data_inputs!A37</f>
        <v>34</v>
      </c>
      <c r="B37">
        <f>Data_inputs!B37-Data_inputs!C37</f>
        <v>305.10803254386406</v>
      </c>
      <c r="C37">
        <f>Data_inputs!B37*K_factor</f>
        <v>1933.0919916094456</v>
      </c>
      <c r="D37">
        <f>Data_inputs!C37*K_factor</f>
        <v>1283.4265211941263</v>
      </c>
      <c r="E37">
        <f t="shared" si="0"/>
        <v>649.66547041531931</v>
      </c>
      <c r="F37">
        <f>Data_inputs!G37-Data_inputs!H37</f>
        <v>383.37999904614799</v>
      </c>
      <c r="G37">
        <f t="shared" si="1"/>
        <v>816.32969591625817</v>
      </c>
    </row>
    <row r="38" spans="1:7" x14ac:dyDescent="0.3">
      <c r="A38">
        <f>Data_inputs!A38</f>
        <v>35</v>
      </c>
      <c r="B38">
        <f>Data_inputs!B38-Data_inputs!C38</f>
        <v>711.13843364337094</v>
      </c>
      <c r="C38">
        <f>Data_inputs!B38*K_factor</f>
        <v>3280.0283673808417</v>
      </c>
      <c r="D38">
        <f>Data_inputs!C38*K_factor</f>
        <v>1765.8037788921274</v>
      </c>
      <c r="E38">
        <f t="shared" si="0"/>
        <v>1514.2245884887143</v>
      </c>
      <c r="F38">
        <f>Data_inputs!G38-Data_inputs!H38</f>
        <v>623.35146080050663</v>
      </c>
      <c r="G38">
        <f t="shared" si="1"/>
        <v>1327.3000931459146</v>
      </c>
    </row>
    <row r="39" spans="1:7" x14ac:dyDescent="0.3">
      <c r="A39">
        <f>Data_inputs!A39</f>
        <v>36</v>
      </c>
      <c r="B39">
        <f>Data_inputs!B39-Data_inputs!C39</f>
        <v>630.85004574912409</v>
      </c>
      <c r="C39">
        <f>Data_inputs!B39*K_factor</f>
        <v>3580.9066981005717</v>
      </c>
      <c r="D39">
        <f>Data_inputs!C39*K_factor</f>
        <v>2237.639894155614</v>
      </c>
      <c r="E39">
        <f t="shared" si="0"/>
        <v>1343.2668039449577</v>
      </c>
      <c r="F39">
        <f>Data_inputs!G39-Data_inputs!H39</f>
        <v>166.89682804966401</v>
      </c>
      <c r="G39">
        <f t="shared" si="1"/>
        <v>355.3728343422801</v>
      </c>
    </row>
    <row r="40" spans="1:7" x14ac:dyDescent="0.3">
      <c r="A40">
        <f>Data_inputs!A40</f>
        <v>37</v>
      </c>
      <c r="B40">
        <f>Data_inputs!B40-Data_inputs!C40</f>
        <v>340.89129013929733</v>
      </c>
      <c r="C40">
        <f>Data_inputs!B40*K_factor</f>
        <v>2353.2024237290684</v>
      </c>
      <c r="D40">
        <f>Data_inputs!C40*K_factor</f>
        <v>1627.3437876179637</v>
      </c>
      <c r="E40">
        <f t="shared" si="0"/>
        <v>725.85863611110472</v>
      </c>
      <c r="F40">
        <f>Data_inputs!G40-Data_inputs!H40</f>
        <v>161.91189149546699</v>
      </c>
      <c r="G40">
        <f t="shared" si="1"/>
        <v>344.75842630958653</v>
      </c>
    </row>
    <row r="41" spans="1:7" x14ac:dyDescent="0.3">
      <c r="A41">
        <f>Data_inputs!A41</f>
        <v>38</v>
      </c>
      <c r="B41">
        <f>Data_inputs!B41-Data_inputs!C41</f>
        <v>306.59834746127228</v>
      </c>
      <c r="C41">
        <f>Data_inputs!B41*K_factor</f>
        <v>2124.5930672420973</v>
      </c>
      <c r="D41">
        <f>Data_inputs!C41*K_factor</f>
        <v>1471.7542744667851</v>
      </c>
      <c r="E41">
        <f t="shared" si="0"/>
        <v>652.83879277531219</v>
      </c>
      <c r="F41">
        <f>Data_inputs!G41-Data_inputs!H41</f>
        <v>277.10462131471286</v>
      </c>
      <c r="G41">
        <f t="shared" si="1"/>
        <v>590.03790447503332</v>
      </c>
    </row>
    <row r="42" spans="1:7" x14ac:dyDescent="0.3">
      <c r="A42">
        <f>Data_inputs!A42</f>
        <v>39</v>
      </c>
      <c r="B42">
        <f>Data_inputs!B42-Data_inputs!C42</f>
        <v>473.7307902211021</v>
      </c>
      <c r="C42">
        <f>Data_inputs!B42*K_factor</f>
        <v>3525.7999360189078</v>
      </c>
      <c r="D42">
        <f>Data_inputs!C42*K_factor</f>
        <v>2517.0866153200604</v>
      </c>
      <c r="E42">
        <f t="shared" si="0"/>
        <v>1008.7133206988474</v>
      </c>
      <c r="F42">
        <f>Data_inputs!G42-Data_inputs!H42</f>
        <v>388.35076663729569</v>
      </c>
      <c r="G42">
        <f t="shared" si="1"/>
        <v>826.91393402530878</v>
      </c>
    </row>
    <row r="43" spans="1:7" x14ac:dyDescent="0.3">
      <c r="A43">
        <f>Data_inputs!A43</f>
        <v>40</v>
      </c>
      <c r="B43">
        <f>Data_inputs!B43-Data_inputs!C43</f>
        <v>194.60784584731425</v>
      </c>
      <c r="C43">
        <f>Data_inputs!B43*K_factor</f>
        <v>1747.9681098162257</v>
      </c>
      <c r="D43">
        <f>Data_inputs!C43*K_factor</f>
        <v>1333.5903018483839</v>
      </c>
      <c r="E43">
        <f t="shared" si="0"/>
        <v>414.37780796784182</v>
      </c>
      <c r="F43">
        <f>Data_inputs!G43-Data_inputs!H43</f>
        <v>110.17047173880997</v>
      </c>
      <c r="G43">
        <f t="shared" si="1"/>
        <v>234.58560153699568</v>
      </c>
    </row>
    <row r="44" spans="1:7" x14ac:dyDescent="0.3">
      <c r="A44">
        <f>Data_inputs!A44</f>
        <v>41</v>
      </c>
      <c r="B44">
        <f>Data_inputs!B44-Data_inputs!C44</f>
        <v>1200.7589991698242</v>
      </c>
      <c r="C44">
        <f>Data_inputs!B44*K_factor</f>
        <v>4699.4618087637073</v>
      </c>
      <c r="D44">
        <f>Data_inputs!C44*K_factor</f>
        <v>2142.6898563932259</v>
      </c>
      <c r="E44">
        <f t="shared" si="0"/>
        <v>2556.7719523704814</v>
      </c>
      <c r="F44">
        <f>Data_inputs!G44-Data_inputs!H44</f>
        <v>-21.49858567097499</v>
      </c>
      <c r="G44">
        <f t="shared" si="1"/>
        <v>-45.776863548127167</v>
      </c>
    </row>
    <row r="45" spans="1:7" x14ac:dyDescent="0.3">
      <c r="A45">
        <f>Data_inputs!A45</f>
        <v>42</v>
      </c>
      <c r="B45">
        <f>Data_inputs!B45-Data_inputs!C45</f>
        <v>526.12519600022381</v>
      </c>
      <c r="C45">
        <f>Data_inputs!B45*K_factor</f>
        <v>2778.2727884341693</v>
      </c>
      <c r="D45">
        <f>Data_inputs!C45*K_factor</f>
        <v>1657.9962421007078</v>
      </c>
      <c r="E45">
        <f t="shared" si="0"/>
        <v>1120.2765463334615</v>
      </c>
      <c r="F45">
        <f>Data_inputs!G45-Data_inputs!H45</f>
        <v>583.37723953274826</v>
      </c>
      <c r="G45">
        <f t="shared" si="1"/>
        <v>1242.1831231078652</v>
      </c>
    </row>
    <row r="46" spans="1:7" x14ac:dyDescent="0.3">
      <c r="A46">
        <f>Data_inputs!A46</f>
        <v>43</v>
      </c>
      <c r="B46">
        <f>Data_inputs!B46-Data_inputs!C46</f>
        <v>465.79214622869745</v>
      </c>
      <c r="C46">
        <f>Data_inputs!B46*K_factor</f>
        <v>2476.0452600941726</v>
      </c>
      <c r="D46">
        <f>Data_inputs!C46*K_factor</f>
        <v>1484.2356663827286</v>
      </c>
      <c r="E46">
        <f t="shared" si="0"/>
        <v>991.80959371144399</v>
      </c>
      <c r="F46">
        <f>Data_inputs!G46-Data_inputs!H46</f>
        <v>356.01988415107826</v>
      </c>
      <c r="G46">
        <f t="shared" si="1"/>
        <v>758.07189861828886</v>
      </c>
    </row>
    <row r="47" spans="1:7" x14ac:dyDescent="0.3">
      <c r="A47">
        <f>Data_inputs!A47</f>
        <v>44</v>
      </c>
      <c r="B47">
        <f>Data_inputs!B47-Data_inputs!C47</f>
        <v>397.03937697971719</v>
      </c>
      <c r="C47">
        <f>Data_inputs!B47*K_factor</f>
        <v>1720.3855712495242</v>
      </c>
      <c r="D47">
        <f>Data_inputs!C47*K_factor</f>
        <v>874.97100950130175</v>
      </c>
      <c r="E47">
        <f t="shared" si="0"/>
        <v>845.41456174822247</v>
      </c>
      <c r="F47">
        <f>Data_inputs!G47-Data_inputs!H47</f>
        <v>236.88150323779701</v>
      </c>
      <c r="G47">
        <f t="shared" si="1"/>
        <v>504.39095932863296</v>
      </c>
    </row>
    <row r="48" spans="1:7" x14ac:dyDescent="0.3">
      <c r="A48">
        <f>Data_inputs!A48</f>
        <v>45</v>
      </c>
      <c r="B48">
        <f>Data_inputs!B48-Data_inputs!C48</f>
        <v>323.69822169946053</v>
      </c>
      <c r="C48">
        <f>Data_inputs!B48*K_factor</f>
        <v>1826.0840244970595</v>
      </c>
      <c r="D48">
        <f>Data_inputs!C48*K_factor</f>
        <v>1136.8345290982484</v>
      </c>
      <c r="E48">
        <f t="shared" si="0"/>
        <v>689.24949539881118</v>
      </c>
      <c r="F48">
        <f>Data_inputs!G48-Data_inputs!H48</f>
        <v>239.07274275480199</v>
      </c>
      <c r="G48">
        <f t="shared" si="1"/>
        <v>509.05675799587391</v>
      </c>
    </row>
    <row r="49" spans="1:7" x14ac:dyDescent="0.3">
      <c r="A49">
        <f>Data_inputs!A49</f>
        <v>46</v>
      </c>
      <c r="B49">
        <f>Data_inputs!B49-Data_inputs!C49</f>
        <v>1131.8852787646974</v>
      </c>
      <c r="C49">
        <f>Data_inputs!B49*K_factor</f>
        <v>4303.5274268387948</v>
      </c>
      <c r="D49">
        <f>Data_inputs!C49*K_factor</f>
        <v>1893.4080473068111</v>
      </c>
      <c r="E49">
        <f t="shared" si="0"/>
        <v>2410.1193795319837</v>
      </c>
      <c r="F49">
        <f>Data_inputs!G49-Data_inputs!H49</f>
        <v>229.39780106243734</v>
      </c>
      <c r="G49">
        <f t="shared" si="1"/>
        <v>488.45593836682258</v>
      </c>
    </row>
    <row r="50" spans="1:7" x14ac:dyDescent="0.3">
      <c r="A50">
        <f>Data_inputs!A50</f>
        <v>47</v>
      </c>
      <c r="B50">
        <f>Data_inputs!B50-Data_inputs!C50</f>
        <v>513.0453314953096</v>
      </c>
      <c r="C50">
        <f>Data_inputs!B50*K_factor</f>
        <v>2561.7179866746847</v>
      </c>
      <c r="D50">
        <f>Data_inputs!C50*K_factor</f>
        <v>1469.2923502491162</v>
      </c>
      <c r="E50">
        <f t="shared" si="0"/>
        <v>1092.4256364255684</v>
      </c>
      <c r="F50">
        <f>Data_inputs!G50-Data_inputs!H50</f>
        <v>374.708085363897</v>
      </c>
      <c r="G50">
        <f t="shared" si="1"/>
        <v>797.86462033365888</v>
      </c>
    </row>
    <row r="51" spans="1:7" x14ac:dyDescent="0.3">
      <c r="A51">
        <f>Data_inputs!A51</f>
        <v>48</v>
      </c>
      <c r="B51">
        <f>Data_inputs!B51-Data_inputs!C51</f>
        <v>201.58389360265221</v>
      </c>
      <c r="C51">
        <f>Data_inputs!B51*K_factor</f>
        <v>1271.5106453339308</v>
      </c>
      <c r="D51">
        <f>Data_inputs!C51*K_factor</f>
        <v>842.27876319169036</v>
      </c>
      <c r="E51">
        <f t="shared" si="0"/>
        <v>429.23188214224047</v>
      </c>
      <c r="F51">
        <f>Data_inputs!G51-Data_inputs!H51</f>
        <v>158.6244195351959</v>
      </c>
      <c r="G51">
        <f t="shared" si="1"/>
        <v>337.75842372119303</v>
      </c>
    </row>
    <row r="52" spans="1:7" x14ac:dyDescent="0.3">
      <c r="A52">
        <f>Data_inputs!A52</f>
        <v>49</v>
      </c>
      <c r="B52">
        <f>Data_inputs!B52-Data_inputs!C52</f>
        <v>571.74217487777958</v>
      </c>
      <c r="C52">
        <f>Data_inputs!B52*K_factor</f>
        <v>3057.0974856810049</v>
      </c>
      <c r="D52">
        <f>Data_inputs!C52*K_factor</f>
        <v>1839.6888651955712</v>
      </c>
      <c r="E52">
        <f t="shared" si="0"/>
        <v>1217.4086204854336</v>
      </c>
      <c r="F52">
        <f>Data_inputs!G52-Data_inputs!H52</f>
        <v>379.84903044801695</v>
      </c>
      <c r="G52">
        <f t="shared" si="1"/>
        <v>808.81121678543843</v>
      </c>
    </row>
    <row r="53" spans="1:7" x14ac:dyDescent="0.3">
      <c r="A53">
        <f>Data_inputs!A53</f>
        <v>50</v>
      </c>
      <c r="B53">
        <f>Data_inputs!B53-Data_inputs!C53</f>
        <v>334.76769756012186</v>
      </c>
      <c r="C53">
        <f>Data_inputs!B53*K_factor</f>
        <v>1705.9075520735817</v>
      </c>
      <c r="D53">
        <f>Data_inputs!C53*K_factor</f>
        <v>993.08786030101999</v>
      </c>
      <c r="E53">
        <f t="shared" si="0"/>
        <v>712.81969177256167</v>
      </c>
      <c r="F53">
        <f>Data_inputs!G53-Data_inputs!H53</f>
        <v>309.08697760491486</v>
      </c>
      <c r="G53">
        <f t="shared" si="1"/>
        <v>658.13782426746718</v>
      </c>
    </row>
    <row r="54" spans="1:7" x14ac:dyDescent="0.3">
      <c r="A54">
        <f>Data_inputs!A54</f>
        <v>51</v>
      </c>
      <c r="B54">
        <f>Data_inputs!B54-Data_inputs!C54</f>
        <v>1172.1042958652833</v>
      </c>
      <c r="C54">
        <f>Data_inputs!B54*K_factor</f>
        <v>4544.7352812616191</v>
      </c>
      <c r="D54">
        <f>Data_inputs!C54*K_factor</f>
        <v>2048.977688777843</v>
      </c>
      <c r="E54">
        <f t="shared" si="0"/>
        <v>2495.7575924837761</v>
      </c>
      <c r="F54">
        <f>Data_inputs!G54-Data_inputs!H54</f>
        <v>343.46767276211381</v>
      </c>
      <c r="G54">
        <f t="shared" si="1"/>
        <v>731.34451865135293</v>
      </c>
    </row>
    <row r="55" spans="1:7" x14ac:dyDescent="0.3">
      <c r="A55">
        <f>Data_inputs!A55</f>
        <v>52</v>
      </c>
      <c r="B55">
        <f>Data_inputs!B55-Data_inputs!C55</f>
        <v>1062.9561747328057</v>
      </c>
      <c r="C55">
        <f>Data_inputs!B55*K_factor</f>
        <v>4296.2563845658296</v>
      </c>
      <c r="D55">
        <f>Data_inputs!C55*K_factor</f>
        <v>2032.9075060358068</v>
      </c>
      <c r="E55">
        <f t="shared" si="0"/>
        <v>2263.3488785300228</v>
      </c>
      <c r="F55">
        <f>Data_inputs!G55-Data_inputs!H55</f>
        <v>227.54623363343899</v>
      </c>
      <c r="G55">
        <f t="shared" si="1"/>
        <v>484.51340229284045</v>
      </c>
    </row>
    <row r="56" spans="1:7" x14ac:dyDescent="0.3">
      <c r="A56">
        <f>Data_inputs!A56</f>
        <v>53</v>
      </c>
      <c r="B56">
        <f>Data_inputs!B56-Data_inputs!C56</f>
        <v>304.03800957157625</v>
      </c>
      <c r="C56">
        <f>Data_inputs!B56*K_factor</f>
        <v>2031.1622194934105</v>
      </c>
      <c r="D56">
        <f>Data_inputs!C56*K_factor</f>
        <v>1383.775145264028</v>
      </c>
      <c r="E56">
        <f t="shared" si="0"/>
        <v>647.38707422938251</v>
      </c>
      <c r="F56">
        <f>Data_inputs!G56-Data_inputs!H56</f>
        <v>230.05497986132013</v>
      </c>
      <c r="G56">
        <f t="shared" si="1"/>
        <v>489.85526689306118</v>
      </c>
    </row>
    <row r="57" spans="1:7" x14ac:dyDescent="0.3">
      <c r="A57">
        <f>Data_inputs!A57</f>
        <v>54</v>
      </c>
      <c r="B57">
        <f>Data_inputs!B57-Data_inputs!C57</f>
        <v>469.13636492377293</v>
      </c>
      <c r="C57">
        <f>Data_inputs!B57*K_factor</f>
        <v>2777.8421086228986</v>
      </c>
      <c r="D57">
        <f>Data_inputs!C57*K_factor</f>
        <v>1778.9116816984006</v>
      </c>
      <c r="E57">
        <f t="shared" si="0"/>
        <v>998.93042692449808</v>
      </c>
      <c r="F57">
        <f>Data_inputs!G57-Data_inputs!H57</f>
        <v>315.08800305030081</v>
      </c>
      <c r="G57">
        <f t="shared" si="1"/>
        <v>670.91578683517002</v>
      </c>
    </row>
    <row r="58" spans="1:7" x14ac:dyDescent="0.3">
      <c r="A58">
        <f>Data_inputs!A58</f>
        <v>55</v>
      </c>
      <c r="B58">
        <f>Data_inputs!B58-Data_inputs!C58</f>
        <v>368.14760174830303</v>
      </c>
      <c r="C58">
        <f>Data_inputs!B58*K_factor</f>
        <v>1702.9887268983075</v>
      </c>
      <c r="D58">
        <f>Data_inputs!C58*K_factor</f>
        <v>919.09332146450242</v>
      </c>
      <c r="E58">
        <f t="shared" si="0"/>
        <v>783.89540543380508</v>
      </c>
      <c r="F58">
        <f>Data_inputs!G58-Data_inputs!H58</f>
        <v>209.61609777948911</v>
      </c>
      <c r="G58">
        <f t="shared" si="1"/>
        <v>446.33482650430477</v>
      </c>
    </row>
    <row r="59" spans="1:7" x14ac:dyDescent="0.3">
      <c r="A59">
        <f>Data_inputs!A59</f>
        <v>56</v>
      </c>
      <c r="B59">
        <f>Data_inputs!B59-Data_inputs!C59</f>
        <v>269.70780936473295</v>
      </c>
      <c r="C59">
        <f>Data_inputs!B59*K_factor</f>
        <v>2358.7735200319439</v>
      </c>
      <c r="D59">
        <f>Data_inputs!C59*K_factor</f>
        <v>1784.4856214646263</v>
      </c>
      <c r="E59">
        <f t="shared" si="0"/>
        <v>574.2878985673176</v>
      </c>
      <c r="F59">
        <f>Data_inputs!G59-Data_inputs!H59</f>
        <v>232.91060452467491</v>
      </c>
      <c r="G59">
        <f t="shared" si="1"/>
        <v>495.93573853708864</v>
      </c>
    </row>
    <row r="60" spans="1:7" x14ac:dyDescent="0.3">
      <c r="A60">
        <f>Data_inputs!A60</f>
        <v>57</v>
      </c>
      <c r="B60">
        <f>Data_inputs!B60-Data_inputs!C60</f>
        <v>494.38530826030342</v>
      </c>
      <c r="C60">
        <f>Data_inputs!B60*K_factor</f>
        <v>2759.3120067219934</v>
      </c>
      <c r="D60">
        <f>Data_inputs!C60*K_factor</f>
        <v>1706.619092741837</v>
      </c>
      <c r="E60">
        <f t="shared" si="0"/>
        <v>1052.6929139801564</v>
      </c>
      <c r="F60">
        <f>Data_inputs!G60-Data_inputs!H60</f>
        <v>322.85663167246412</v>
      </c>
      <c r="G60">
        <f t="shared" si="1"/>
        <v>687.45750068721043</v>
      </c>
    </row>
    <row r="61" spans="1:7" x14ac:dyDescent="0.3">
      <c r="A61">
        <f>Data_inputs!A61</f>
        <v>58</v>
      </c>
      <c r="B61">
        <f>Data_inputs!B61-Data_inputs!C61</f>
        <v>1006.7572455087119</v>
      </c>
      <c r="C61">
        <f>Data_inputs!B61*K_factor</f>
        <v>4093.8981551840902</v>
      </c>
      <c r="D61">
        <f>Data_inputs!C61*K_factor</f>
        <v>1950.2134608015601</v>
      </c>
      <c r="E61">
        <f t="shared" si="0"/>
        <v>2143.6846943825303</v>
      </c>
      <c r="F61">
        <f>Data_inputs!G61-Data_inputs!H61</f>
        <v>312.57783898886919</v>
      </c>
      <c r="G61">
        <f t="shared" si="1"/>
        <v>665.57090324691126</v>
      </c>
    </row>
    <row r="62" spans="1:7" x14ac:dyDescent="0.3">
      <c r="A62">
        <f>Data_inputs!A62</f>
        <v>59</v>
      </c>
      <c r="B62">
        <f>Data_inputs!B62-Data_inputs!C62</f>
        <v>146.95587300887786</v>
      </c>
      <c r="C62">
        <f>Data_inputs!B62*K_factor</f>
        <v>1309.4633018489997</v>
      </c>
      <c r="D62">
        <f>Data_inputs!C62*K_factor</f>
        <v>996.55067358222038</v>
      </c>
      <c r="E62">
        <f t="shared" si="0"/>
        <v>312.91262826677928</v>
      </c>
      <c r="F62">
        <f>Data_inputs!G62-Data_inputs!H62</f>
        <v>136.48187126731909</v>
      </c>
      <c r="G62">
        <f t="shared" si="1"/>
        <v>290.61037285964784</v>
      </c>
    </row>
    <row r="63" spans="1:7" x14ac:dyDescent="0.3">
      <c r="A63">
        <f>Data_inputs!A63</f>
        <v>60</v>
      </c>
      <c r="B63">
        <f>Data_inputs!B63-Data_inputs!C63</f>
        <v>512.89836727969146</v>
      </c>
      <c r="C63">
        <f>Data_inputs!B63*K_factor</f>
        <v>2793.3330696070584</v>
      </c>
      <c r="D63">
        <f>Data_inputs!C63*K_factor</f>
        <v>1701.2203635736457</v>
      </c>
      <c r="E63">
        <f t="shared" si="0"/>
        <v>1092.1127060334127</v>
      </c>
      <c r="F63">
        <f>Data_inputs!G63-Data_inputs!H63</f>
        <v>436.20260663352019</v>
      </c>
      <c r="G63">
        <f t="shared" si="1"/>
        <v>928.8046901689263</v>
      </c>
    </row>
    <row r="64" spans="1:7" x14ac:dyDescent="0.3">
      <c r="A64">
        <f>Data_inputs!A64</f>
        <v>61</v>
      </c>
      <c r="B64">
        <f>Data_inputs!B64-Data_inputs!C64</f>
        <v>150.59221171530692</v>
      </c>
      <c r="C64">
        <f>Data_inputs!B64*K_factor</f>
        <v>1555.404038336221</v>
      </c>
      <c r="D64">
        <f>Data_inputs!C64*K_factor</f>
        <v>1234.7485667342303</v>
      </c>
      <c r="E64">
        <f t="shared" si="0"/>
        <v>320.65547160199071</v>
      </c>
      <c r="F64">
        <f>Data_inputs!G64-Data_inputs!H64</f>
        <v>109.16868189989009</v>
      </c>
      <c r="G64">
        <f t="shared" si="1"/>
        <v>232.4524939241517</v>
      </c>
    </row>
    <row r="65" spans="1:7" x14ac:dyDescent="0.3">
      <c r="A65">
        <f>Data_inputs!A65</f>
        <v>62</v>
      </c>
      <c r="B65">
        <f>Data_inputs!B65-Data_inputs!C65</f>
        <v>357.08680633234871</v>
      </c>
      <c r="C65">
        <f>Data_inputs!B65*K_factor</f>
        <v>2415.8620654452798</v>
      </c>
      <c r="D65">
        <f>Data_inputs!C65*K_factor</f>
        <v>1655.5183731445613</v>
      </c>
      <c r="E65">
        <f t="shared" si="0"/>
        <v>760.34369230071843</v>
      </c>
      <c r="F65">
        <f>Data_inputs!G65-Data_inputs!H65</f>
        <v>381.49485120368308</v>
      </c>
      <c r="G65">
        <f t="shared" si="1"/>
        <v>812.3156571849072</v>
      </c>
    </row>
    <row r="66" spans="1:7" x14ac:dyDescent="0.3">
      <c r="A66">
        <f>Data_inputs!A66</f>
        <v>63</v>
      </c>
      <c r="B66">
        <f>Data_inputs!B66-Data_inputs!C66</f>
        <v>579.06932335067813</v>
      </c>
      <c r="C66">
        <f>Data_inputs!B66*K_factor</f>
        <v>2968.3870278766844</v>
      </c>
      <c r="D66">
        <f>Data_inputs!C66*K_factor</f>
        <v>1735.3767356825119</v>
      </c>
      <c r="E66">
        <f t="shared" si="0"/>
        <v>1233.0102921941725</v>
      </c>
      <c r="F66">
        <f>Data_inputs!G66-Data_inputs!H66</f>
        <v>427.77969630492316</v>
      </c>
      <c r="G66">
        <f t="shared" si="1"/>
        <v>910.86981655950285</v>
      </c>
    </row>
    <row r="67" spans="1:7" x14ac:dyDescent="0.3">
      <c r="A67">
        <f>Data_inputs!A67</f>
        <v>64</v>
      </c>
      <c r="B67">
        <f>Data_inputs!B67-Data_inputs!C67</f>
        <v>771.29172402789254</v>
      </c>
      <c r="C67">
        <f>Data_inputs!B67*K_factor</f>
        <v>3607.3560499780374</v>
      </c>
      <c r="D67">
        <f>Data_inputs!C67*K_factor</f>
        <v>1965.0472699036056</v>
      </c>
      <c r="E67">
        <f t="shared" si="0"/>
        <v>1642.3087800744318</v>
      </c>
      <c r="F67">
        <f>Data_inputs!G67-Data_inputs!H67</f>
        <v>669.52928359872749</v>
      </c>
      <c r="G67">
        <f t="shared" si="1"/>
        <v>1425.6263703036568</v>
      </c>
    </row>
    <row r="68" spans="1:7" x14ac:dyDescent="0.3">
      <c r="A68">
        <f>Data_inputs!A68</f>
        <v>65</v>
      </c>
      <c r="B68">
        <f>Data_inputs!B68-Data_inputs!C68</f>
        <v>215.91163078282523</v>
      </c>
      <c r="C68">
        <f>Data_inputs!B68*K_factor</f>
        <v>1794.2192956288959</v>
      </c>
      <c r="D68">
        <f>Data_inputs!C68*K_factor</f>
        <v>1334.4794126400834</v>
      </c>
      <c r="E68">
        <f t="shared" ref="E68:E131" si="2">C68-D68</f>
        <v>459.7398829888125</v>
      </c>
      <c r="F68">
        <f>Data_inputs!G68-Data_inputs!H68</f>
        <v>252.32250630705494</v>
      </c>
      <c r="G68">
        <f t="shared" ref="G68:G131" si="3">F68*K_factor</f>
        <v>537.26943335317912</v>
      </c>
    </row>
    <row r="69" spans="1:7" x14ac:dyDescent="0.3">
      <c r="A69">
        <f>Data_inputs!A69</f>
        <v>66</v>
      </c>
      <c r="B69">
        <f>Data_inputs!B69-Data_inputs!C69</f>
        <v>281.17670362292347</v>
      </c>
      <c r="C69">
        <f>Data_inputs!B69*K_factor</f>
        <v>1975.7108422041902</v>
      </c>
      <c r="D69">
        <f>Data_inputs!C69*K_factor</f>
        <v>1377.0022670612084</v>
      </c>
      <c r="E69">
        <f t="shared" si="2"/>
        <v>598.70857514298177</v>
      </c>
      <c r="F69">
        <f>Data_inputs!G69-Data_inputs!H69</f>
        <v>220.23613711051212</v>
      </c>
      <c r="G69">
        <f t="shared" si="3"/>
        <v>468.94803924175164</v>
      </c>
    </row>
    <row r="70" spans="1:7" x14ac:dyDescent="0.3">
      <c r="A70">
        <f>Data_inputs!A70</f>
        <v>67</v>
      </c>
      <c r="B70">
        <f>Data_inputs!B70-Data_inputs!C70</f>
        <v>299.48571594344401</v>
      </c>
      <c r="C70">
        <f>Data_inputs!B70*K_factor</f>
        <v>1920.8709853944783</v>
      </c>
      <c r="D70">
        <f>Data_inputs!C70*K_factor</f>
        <v>1283.1770941230502</v>
      </c>
      <c r="E70">
        <f t="shared" si="2"/>
        <v>637.69389127142813</v>
      </c>
      <c r="F70">
        <f>Data_inputs!G70-Data_inputs!H70</f>
        <v>431.85506035327398</v>
      </c>
      <c r="G70">
        <f t="shared" si="3"/>
        <v>919.54747502529528</v>
      </c>
    </row>
    <row r="71" spans="1:7" x14ac:dyDescent="0.3">
      <c r="A71">
        <f>Data_inputs!A71</f>
        <v>68</v>
      </c>
      <c r="B71">
        <f>Data_inputs!B71-Data_inputs!C71</f>
        <v>686.07498459753697</v>
      </c>
      <c r="C71">
        <f>Data_inputs!B71*K_factor</f>
        <v>4144.884528772066</v>
      </c>
      <c r="D71">
        <f>Data_inputs!C71*K_factor</f>
        <v>2684.0274549922642</v>
      </c>
      <c r="E71">
        <f t="shared" si="2"/>
        <v>1460.8570737798018</v>
      </c>
      <c r="F71">
        <f>Data_inputs!G71-Data_inputs!H71</f>
        <v>568.13656825644694</v>
      </c>
      <c r="G71">
        <f t="shared" si="3"/>
        <v>1209.7312148719191</v>
      </c>
    </row>
    <row r="72" spans="1:7" x14ac:dyDescent="0.3">
      <c r="A72">
        <f>Data_inputs!A72</f>
        <v>69</v>
      </c>
      <c r="B72">
        <f>Data_inputs!B72-Data_inputs!C72</f>
        <v>233.59213833155366</v>
      </c>
      <c r="C72">
        <f>Data_inputs!B72*K_factor</f>
        <v>2074.2271970497532</v>
      </c>
      <c r="D72">
        <f>Data_inputs!C72*K_factor</f>
        <v>1576.8402709527757</v>
      </c>
      <c r="E72">
        <f t="shared" si="2"/>
        <v>497.3869260969775</v>
      </c>
      <c r="F72">
        <f>Data_inputs!G72-Data_inputs!H72</f>
        <v>385.16937558313202</v>
      </c>
      <c r="G72">
        <f t="shared" si="3"/>
        <v>820.13980914060517</v>
      </c>
    </row>
    <row r="73" spans="1:7" x14ac:dyDescent="0.3">
      <c r="A73">
        <f>Data_inputs!A73</f>
        <v>70</v>
      </c>
      <c r="B73">
        <f>Data_inputs!B73-Data_inputs!C73</f>
        <v>431.19361538396998</v>
      </c>
      <c r="C73">
        <f>Data_inputs!B73*K_factor</f>
        <v>1990.8143338407383</v>
      </c>
      <c r="D73">
        <f>Data_inputs!C73*K_factor</f>
        <v>1072.6752712834923</v>
      </c>
      <c r="E73">
        <f t="shared" si="2"/>
        <v>918.13906255724601</v>
      </c>
      <c r="F73">
        <f>Data_inputs!G73-Data_inputs!H73</f>
        <v>238.77039787468607</v>
      </c>
      <c r="G73">
        <f t="shared" si="3"/>
        <v>508.41297609629402</v>
      </c>
    </row>
    <row r="74" spans="1:7" x14ac:dyDescent="0.3">
      <c r="A74">
        <f>Data_inputs!A74</f>
        <v>71</v>
      </c>
      <c r="B74">
        <f>Data_inputs!B74-Data_inputs!C74</f>
        <v>456.29694029116047</v>
      </c>
      <c r="C74">
        <f>Data_inputs!B74*K_factor</f>
        <v>2615.0547625663189</v>
      </c>
      <c r="D74">
        <f>Data_inputs!C74*K_factor</f>
        <v>1643.4632777675383</v>
      </c>
      <c r="E74">
        <f t="shared" si="2"/>
        <v>971.59148479878058</v>
      </c>
      <c r="F74">
        <f>Data_inputs!G74-Data_inputs!H74</f>
        <v>495.20884121180006</v>
      </c>
      <c r="G74">
        <f t="shared" si="3"/>
        <v>1054.4464598238228</v>
      </c>
    </row>
    <row r="75" spans="1:7" x14ac:dyDescent="0.3">
      <c r="A75">
        <f>Data_inputs!A75</f>
        <v>72</v>
      </c>
      <c r="B75">
        <f>Data_inputs!B75-Data_inputs!C75</f>
        <v>1257.389535918521</v>
      </c>
      <c r="C75">
        <f>Data_inputs!B75*K_factor</f>
        <v>4727.930129950626</v>
      </c>
      <c r="D75">
        <f>Data_inputs!C75*K_factor</f>
        <v>2050.5749730346365</v>
      </c>
      <c r="E75">
        <f t="shared" si="2"/>
        <v>2677.3551569159895</v>
      </c>
      <c r="F75">
        <f>Data_inputs!G75-Data_inputs!H75</f>
        <v>401.04604371227606</v>
      </c>
      <c r="G75">
        <f t="shared" si="3"/>
        <v>853.94594325890444</v>
      </c>
    </row>
    <row r="76" spans="1:7" x14ac:dyDescent="0.3">
      <c r="A76">
        <f>Data_inputs!A76</f>
        <v>73</v>
      </c>
      <c r="B76">
        <f>Data_inputs!B76-Data_inputs!C76</f>
        <v>269.2617007964808</v>
      </c>
      <c r="C76">
        <f>Data_inputs!B76*K_factor</f>
        <v>1633.1272276200712</v>
      </c>
      <c r="D76">
        <f>Data_inputs!C76*K_factor</f>
        <v>1059.7892264724753</v>
      </c>
      <c r="E76">
        <f t="shared" si="2"/>
        <v>573.33800114759583</v>
      </c>
      <c r="F76">
        <f>Data_inputs!G76-Data_inputs!H76</f>
        <v>235.70768872717008</v>
      </c>
      <c r="G76">
        <f t="shared" si="3"/>
        <v>501.89156018181717</v>
      </c>
    </row>
    <row r="77" spans="1:7" x14ac:dyDescent="0.3">
      <c r="A77">
        <f>Data_inputs!A77</f>
        <v>74</v>
      </c>
      <c r="B77">
        <f>Data_inputs!B77-Data_inputs!C77</f>
        <v>438.37531929125277</v>
      </c>
      <c r="C77">
        <f>Data_inputs!B77*K_factor</f>
        <v>2007.1040915442773</v>
      </c>
      <c r="D77">
        <f>Data_inputs!C77*K_factor</f>
        <v>1073.6730518849938</v>
      </c>
      <c r="E77">
        <f t="shared" si="2"/>
        <v>933.43103965928344</v>
      </c>
      <c r="F77">
        <f>Data_inputs!G77-Data_inputs!H77</f>
        <v>396.40190445840972</v>
      </c>
      <c r="G77">
        <f t="shared" si="3"/>
        <v>844.05719373014995</v>
      </c>
    </row>
    <row r="78" spans="1:7" x14ac:dyDescent="0.3">
      <c r="A78">
        <f>Data_inputs!A78</f>
        <v>75</v>
      </c>
      <c r="B78">
        <f>Data_inputs!B78-Data_inputs!C78</f>
        <v>471.15756272182387</v>
      </c>
      <c r="C78">
        <f>Data_inputs!B78*K_factor</f>
        <v>2395.4895825074118</v>
      </c>
      <c r="D78">
        <f>Data_inputs!C78*K_factor</f>
        <v>1392.255426155258</v>
      </c>
      <c r="E78">
        <f t="shared" si="2"/>
        <v>1003.2341563521538</v>
      </c>
      <c r="F78">
        <f>Data_inputs!G78-Data_inputs!H78</f>
        <v>209.64646613927584</v>
      </c>
      <c r="G78">
        <f t="shared" si="3"/>
        <v>446.39948974696705</v>
      </c>
    </row>
    <row r="79" spans="1:7" x14ac:dyDescent="0.3">
      <c r="A79">
        <f>Data_inputs!A79</f>
        <v>76</v>
      </c>
      <c r="B79">
        <f>Data_inputs!B79-Data_inputs!C79</f>
        <v>535.11058499361161</v>
      </c>
      <c r="C79">
        <f>Data_inputs!B79*K_factor</f>
        <v>3003.2317168666768</v>
      </c>
      <c r="D79">
        <f>Data_inputs!C79*K_factor</f>
        <v>1863.8226130630521</v>
      </c>
      <c r="E79">
        <f t="shared" si="2"/>
        <v>1139.4091038036247</v>
      </c>
      <c r="F79">
        <f>Data_inputs!G79-Data_inputs!H79</f>
        <v>20.357309712244842</v>
      </c>
      <c r="G79">
        <f t="shared" si="3"/>
        <v>43.346748626470614</v>
      </c>
    </row>
    <row r="80" spans="1:7" x14ac:dyDescent="0.3">
      <c r="A80">
        <f>Data_inputs!A80</f>
        <v>77</v>
      </c>
      <c r="B80">
        <f>Data_inputs!B80-Data_inputs!C80</f>
        <v>389.68897702781453</v>
      </c>
      <c r="C80">
        <f>Data_inputs!B80*K_factor</f>
        <v>2244.3082236706978</v>
      </c>
      <c r="D80">
        <f>Data_inputs!C80*K_factor</f>
        <v>1414.5448429244277</v>
      </c>
      <c r="E80">
        <f t="shared" si="2"/>
        <v>829.76338074627006</v>
      </c>
      <c r="F80">
        <f>Data_inputs!G80-Data_inputs!H80</f>
        <v>419.93471119399692</v>
      </c>
      <c r="G80">
        <f t="shared" si="3"/>
        <v>894.16551710203657</v>
      </c>
    </row>
    <row r="81" spans="1:7" x14ac:dyDescent="0.3">
      <c r="A81">
        <f>Data_inputs!A81</f>
        <v>78</v>
      </c>
      <c r="B81">
        <f>Data_inputs!B81-Data_inputs!C81</f>
        <v>163.61351223801722</v>
      </c>
      <c r="C81">
        <f>Data_inputs!B81*K_factor</f>
        <v>1302.3685863356186</v>
      </c>
      <c r="D81">
        <f>Data_inputs!C81*K_factor</f>
        <v>953.98690490895001</v>
      </c>
      <c r="E81">
        <f t="shared" si="2"/>
        <v>348.38168142666859</v>
      </c>
      <c r="F81">
        <f>Data_inputs!G81-Data_inputs!H81</f>
        <v>151.08266822194491</v>
      </c>
      <c r="G81">
        <f t="shared" si="3"/>
        <v>321.69979893236791</v>
      </c>
    </row>
    <row r="82" spans="1:7" x14ac:dyDescent="0.3">
      <c r="A82">
        <f>Data_inputs!A82</f>
        <v>79</v>
      </c>
      <c r="B82">
        <f>Data_inputs!B82-Data_inputs!C82</f>
        <v>360.37783361636968</v>
      </c>
      <c r="C82">
        <f>Data_inputs!B82*K_factor</f>
        <v>1659.8220460525354</v>
      </c>
      <c r="D82">
        <f>Data_inputs!C82*K_factor</f>
        <v>892.47078082495318</v>
      </c>
      <c r="E82">
        <f t="shared" si="2"/>
        <v>767.35126522758219</v>
      </c>
      <c r="F82">
        <f>Data_inputs!G82-Data_inputs!H82</f>
        <v>233.1168436090511</v>
      </c>
      <c r="G82">
        <f t="shared" si="3"/>
        <v>496.37488270072197</v>
      </c>
    </row>
    <row r="83" spans="1:7" x14ac:dyDescent="0.3">
      <c r="A83">
        <f>Data_inputs!A83</f>
        <v>80</v>
      </c>
      <c r="B83">
        <f>Data_inputs!B83-Data_inputs!C83</f>
        <v>448.06517742956748</v>
      </c>
      <c r="C83">
        <f>Data_inputs!B83*K_factor</f>
        <v>2363.5981216164873</v>
      </c>
      <c r="D83">
        <f>Data_inputs!C83*K_factor</f>
        <v>1409.5345007917738</v>
      </c>
      <c r="E83">
        <f t="shared" si="2"/>
        <v>954.06362082471355</v>
      </c>
      <c r="F83">
        <f>Data_inputs!G83-Data_inputs!H83</f>
        <v>341.99663554412518</v>
      </c>
      <c r="G83">
        <f t="shared" si="3"/>
        <v>728.21224422955243</v>
      </c>
    </row>
    <row r="84" spans="1:7" x14ac:dyDescent="0.3">
      <c r="A84">
        <f>Data_inputs!A84</f>
        <v>81</v>
      </c>
      <c r="B84">
        <f>Data_inputs!B84-Data_inputs!C84</f>
        <v>799.40550323573416</v>
      </c>
      <c r="C84">
        <f>Data_inputs!B84*K_factor</f>
        <v>3622.8309761364471</v>
      </c>
      <c r="D84">
        <f>Data_inputs!C84*K_factor</f>
        <v>1920.6596239693288</v>
      </c>
      <c r="E84">
        <f t="shared" si="2"/>
        <v>1702.1713521671184</v>
      </c>
      <c r="F84">
        <f>Data_inputs!G84-Data_inputs!H84</f>
        <v>-29.498359570324055</v>
      </c>
      <c r="G84">
        <f t="shared" si="3"/>
        <v>-62.810754233353968</v>
      </c>
    </row>
    <row r="85" spans="1:7" x14ac:dyDescent="0.3">
      <c r="A85">
        <f>Data_inputs!A85</f>
        <v>82</v>
      </c>
      <c r="B85">
        <f>Data_inputs!B85-Data_inputs!C85</f>
        <v>381.45557971003814</v>
      </c>
      <c r="C85">
        <f>Data_inputs!B85*K_factor</f>
        <v>2331.74598266148</v>
      </c>
      <c r="D85">
        <f>Data_inputs!C85*K_factor</f>
        <v>1519.5139461311323</v>
      </c>
      <c r="E85">
        <f t="shared" si="2"/>
        <v>812.23203653034761</v>
      </c>
      <c r="F85">
        <f>Data_inputs!G85-Data_inputs!H85</f>
        <v>379.87718007512103</v>
      </c>
      <c r="G85">
        <f t="shared" si="3"/>
        <v>808.87115568833167</v>
      </c>
    </row>
    <row r="86" spans="1:7" x14ac:dyDescent="0.3">
      <c r="A86">
        <f>Data_inputs!A86</f>
        <v>83</v>
      </c>
      <c r="B86">
        <f>Data_inputs!B86-Data_inputs!C86</f>
        <v>245.70356433772281</v>
      </c>
      <c r="C86">
        <f>Data_inputs!B86*K_factor</f>
        <v>1409.5629326962401</v>
      </c>
      <c r="D86">
        <f>Data_inputs!C86*K_factor</f>
        <v>886.38718941180628</v>
      </c>
      <c r="E86">
        <f t="shared" si="2"/>
        <v>523.17574328443379</v>
      </c>
      <c r="F86">
        <f>Data_inputs!G86-Data_inputs!H86</f>
        <v>177.84614298407712</v>
      </c>
      <c r="G86">
        <f t="shared" si="3"/>
        <v>378.68717247452287</v>
      </c>
    </row>
    <row r="87" spans="1:7" x14ac:dyDescent="0.3">
      <c r="A87">
        <f>Data_inputs!A87</f>
        <v>84</v>
      </c>
      <c r="B87">
        <f>Data_inputs!B87-Data_inputs!C87</f>
        <v>868.78034564149232</v>
      </c>
      <c r="C87">
        <f>Data_inputs!B87*K_factor</f>
        <v>3692.9427286622417</v>
      </c>
      <c r="D87">
        <f>Data_inputs!C87*K_factor</f>
        <v>1843.0517663270566</v>
      </c>
      <c r="E87">
        <f t="shared" si="2"/>
        <v>1849.8909623351851</v>
      </c>
      <c r="F87">
        <f>Data_inputs!G87-Data_inputs!H87</f>
        <v>570.78905334180399</v>
      </c>
      <c r="G87">
        <f t="shared" si="3"/>
        <v>1215.3791421204432</v>
      </c>
    </row>
    <row r="88" spans="1:7" x14ac:dyDescent="0.3">
      <c r="A88">
        <f>Data_inputs!A88</f>
        <v>85</v>
      </c>
      <c r="B88">
        <f>Data_inputs!B88-Data_inputs!C88</f>
        <v>-270.50531877667504</v>
      </c>
      <c r="C88">
        <f>Data_inputs!B88*K_factor</f>
        <v>2250.6433978513182</v>
      </c>
      <c r="D88">
        <f>Data_inputs!C88*K_factor</f>
        <v>2826.6294304302191</v>
      </c>
      <c r="E88">
        <f t="shared" si="2"/>
        <v>-575.9860325789009</v>
      </c>
      <c r="F88">
        <f>Data_inputs!G88-Data_inputs!H88</f>
        <v>-172.37728844531421</v>
      </c>
      <c r="G88">
        <f t="shared" si="3"/>
        <v>-367.04235956371372</v>
      </c>
    </row>
    <row r="89" spans="1:7" x14ac:dyDescent="0.3">
      <c r="A89">
        <f>Data_inputs!A89</f>
        <v>86</v>
      </c>
      <c r="B89">
        <f>Data_inputs!B89-Data_inputs!C89</f>
        <v>219.67679865089474</v>
      </c>
      <c r="C89">
        <f>Data_inputs!B89*K_factor</f>
        <v>1568.6245344020722</v>
      </c>
      <c r="D89">
        <f>Data_inputs!C89*K_factor</f>
        <v>1100.8674925931282</v>
      </c>
      <c r="E89">
        <f t="shared" si="2"/>
        <v>467.757041808944</v>
      </c>
      <c r="F89">
        <f>Data_inputs!G89-Data_inputs!H89</f>
        <v>226.46883392579298</v>
      </c>
      <c r="G89">
        <f t="shared" si="3"/>
        <v>482.21929885001305</v>
      </c>
    </row>
    <row r="90" spans="1:7" x14ac:dyDescent="0.3">
      <c r="A90">
        <f>Data_inputs!A90</f>
        <v>87</v>
      </c>
      <c r="B90">
        <f>Data_inputs!B90-Data_inputs!C90</f>
        <v>36.648991816048465</v>
      </c>
      <c r="C90">
        <f>Data_inputs!B90*K_factor</f>
        <v>1541.0399084919027</v>
      </c>
      <c r="D90">
        <f>Data_inputs!C90*K_factor</f>
        <v>1463.0033379371851</v>
      </c>
      <c r="E90">
        <f t="shared" si="2"/>
        <v>78.036570554717628</v>
      </c>
      <c r="F90">
        <f>Data_inputs!G90-Data_inputs!H90</f>
        <v>122.31861141609784</v>
      </c>
      <c r="G90">
        <f t="shared" si="3"/>
        <v>260.45259301642056</v>
      </c>
    </row>
    <row r="91" spans="1:7" x14ac:dyDescent="0.3">
      <c r="A91">
        <f>Data_inputs!A91</f>
        <v>88</v>
      </c>
      <c r="B91">
        <f>Data_inputs!B91-Data_inputs!C91</f>
        <v>207.80537887177047</v>
      </c>
      <c r="C91">
        <f>Data_inputs!B91*K_factor</f>
        <v>1698.9814691461331</v>
      </c>
      <c r="D91">
        <f>Data_inputs!C91*K_factor</f>
        <v>1256.5022001018037</v>
      </c>
      <c r="E91">
        <f t="shared" si="2"/>
        <v>442.47926904432938</v>
      </c>
      <c r="F91">
        <f>Data_inputs!G91-Data_inputs!H91</f>
        <v>271.321294430629</v>
      </c>
      <c r="G91">
        <f t="shared" si="3"/>
        <v>577.72348669524661</v>
      </c>
    </row>
    <row r="92" spans="1:7" x14ac:dyDescent="0.3">
      <c r="A92">
        <f>Data_inputs!A92</f>
        <v>89</v>
      </c>
      <c r="B92">
        <f>Data_inputs!B92-Data_inputs!C92</f>
        <v>966.50756895671668</v>
      </c>
      <c r="C92">
        <f>Data_inputs!B92*K_factor</f>
        <v>4078.9887075993793</v>
      </c>
      <c r="D92">
        <f>Data_inputs!C92*K_factor</f>
        <v>2021.0075092316813</v>
      </c>
      <c r="E92">
        <f t="shared" si="2"/>
        <v>2057.9811983676982</v>
      </c>
      <c r="F92">
        <f>Data_inputs!G92-Data_inputs!H92</f>
        <v>2.4767495932260317</v>
      </c>
      <c r="G92">
        <f t="shared" si="3"/>
        <v>5.2737342775556488</v>
      </c>
    </row>
    <row r="93" spans="1:7" x14ac:dyDescent="0.3">
      <c r="A93">
        <f>Data_inputs!A93</f>
        <v>90</v>
      </c>
      <c r="B93">
        <f>Data_inputs!B93-Data_inputs!C93</f>
        <v>710.07901954308068</v>
      </c>
      <c r="C93">
        <f>Data_inputs!B93*K_factor</f>
        <v>3466.3130740449787</v>
      </c>
      <c r="D93">
        <f>Data_inputs!C93*K_factor</f>
        <v>1954.3442923080277</v>
      </c>
      <c r="E93">
        <f t="shared" si="2"/>
        <v>1511.9687817369511</v>
      </c>
      <c r="F93">
        <f>Data_inputs!G93-Data_inputs!H93</f>
        <v>604.00445578710924</v>
      </c>
      <c r="G93">
        <f t="shared" si="3"/>
        <v>1286.1045827938581</v>
      </c>
    </row>
    <row r="94" spans="1:7" x14ac:dyDescent="0.3">
      <c r="A94">
        <f>Data_inputs!A94</f>
        <v>91</v>
      </c>
      <c r="B94">
        <f>Data_inputs!B94-Data_inputs!C94</f>
        <v>384.16045678801527</v>
      </c>
      <c r="C94">
        <f>Data_inputs!B94*K_factor</f>
        <v>1755.1292021223126</v>
      </c>
      <c r="D94">
        <f>Data_inputs!C94*K_factor</f>
        <v>937.1376802561374</v>
      </c>
      <c r="E94">
        <f t="shared" si="2"/>
        <v>817.99152186617516</v>
      </c>
      <c r="F94">
        <f>Data_inputs!G94-Data_inputs!H94</f>
        <v>241.202559687438</v>
      </c>
      <c r="G94">
        <f t="shared" si="3"/>
        <v>513.59176976827143</v>
      </c>
    </row>
    <row r="95" spans="1:7" x14ac:dyDescent="0.3">
      <c r="A95">
        <f>Data_inputs!A95</f>
        <v>92</v>
      </c>
      <c r="B95">
        <f>Data_inputs!B95-Data_inputs!C95</f>
        <v>509.30249618081893</v>
      </c>
      <c r="C95">
        <f>Data_inputs!B95*K_factor</f>
        <v>2467.3598993324517</v>
      </c>
      <c r="D95">
        <f>Data_inputs!C95*K_factor</f>
        <v>1382.9038690985067</v>
      </c>
      <c r="E95">
        <f t="shared" si="2"/>
        <v>1084.4560302339451</v>
      </c>
      <c r="F95">
        <f>Data_inputs!G95-Data_inputs!H95</f>
        <v>282.0575013721882</v>
      </c>
      <c r="G95">
        <f t="shared" si="3"/>
        <v>600.58405472097206</v>
      </c>
    </row>
    <row r="96" spans="1:7" x14ac:dyDescent="0.3">
      <c r="A96">
        <f>Data_inputs!A96</f>
        <v>93</v>
      </c>
      <c r="B96">
        <f>Data_inputs!B96-Data_inputs!C96</f>
        <v>553.43263164759117</v>
      </c>
      <c r="C96">
        <f>Data_inputs!B96*K_factor</f>
        <v>2281.2076109230761</v>
      </c>
      <c r="D96">
        <f>Data_inputs!C96*K_factor</f>
        <v>1102.7854370301945</v>
      </c>
      <c r="E96">
        <f t="shared" si="2"/>
        <v>1178.4221738928816</v>
      </c>
      <c r="F96">
        <f>Data_inputs!G96-Data_inputs!H96</f>
        <v>448.77199530536222</v>
      </c>
      <c r="G96">
        <f t="shared" si="3"/>
        <v>955.56864566443187</v>
      </c>
    </row>
    <row r="97" spans="1:7" x14ac:dyDescent="0.3">
      <c r="A97">
        <f>Data_inputs!A97</f>
        <v>94</v>
      </c>
      <c r="B97">
        <f>Data_inputs!B97-Data_inputs!C97</f>
        <v>415.50291681486613</v>
      </c>
      <c r="C97">
        <f>Data_inputs!B97*K_factor</f>
        <v>2036.1505853341707</v>
      </c>
      <c r="D97">
        <f>Data_inputs!C97*K_factor</f>
        <v>1151.4216725591214</v>
      </c>
      <c r="E97">
        <f t="shared" si="2"/>
        <v>884.72891277504937</v>
      </c>
      <c r="F97">
        <f>Data_inputs!G97-Data_inputs!H97</f>
        <v>340.59374339917076</v>
      </c>
      <c r="G97">
        <f t="shared" si="3"/>
        <v>725.22507087428278</v>
      </c>
    </row>
    <row r="98" spans="1:7" x14ac:dyDescent="0.3">
      <c r="A98">
        <f>Data_inputs!A98</f>
        <v>95</v>
      </c>
      <c r="B98">
        <f>Data_inputs!B98-Data_inputs!C98</f>
        <v>275.2938900729356</v>
      </c>
      <c r="C98">
        <f>Data_inputs!B98*K_factor</f>
        <v>2045.806266801429</v>
      </c>
      <c r="D98">
        <f>Data_inputs!C98*K_factor</f>
        <v>1459.6239460492393</v>
      </c>
      <c r="E98">
        <f t="shared" si="2"/>
        <v>586.18232075218975</v>
      </c>
      <c r="F98">
        <f>Data_inputs!G98-Data_inputs!H98</f>
        <v>336.42043449699304</v>
      </c>
      <c r="G98">
        <f t="shared" si="3"/>
        <v>716.33885877256785</v>
      </c>
    </row>
    <row r="99" spans="1:7" x14ac:dyDescent="0.3">
      <c r="A99">
        <f>Data_inputs!A99</f>
        <v>96</v>
      </c>
      <c r="B99">
        <f>Data_inputs!B99-Data_inputs!C99</f>
        <v>351.82764581110416</v>
      </c>
      <c r="C99">
        <f>Data_inputs!B99*K_factor</f>
        <v>1698.1696202984779</v>
      </c>
      <c r="D99">
        <f>Data_inputs!C99*K_factor</f>
        <v>949.02424016783596</v>
      </c>
      <c r="E99">
        <f t="shared" si="2"/>
        <v>749.14538013064191</v>
      </c>
      <c r="F99">
        <f>Data_inputs!G99-Data_inputs!H99</f>
        <v>250.42580865236073</v>
      </c>
      <c r="G99">
        <f t="shared" si="3"/>
        <v>533.23080164689861</v>
      </c>
    </row>
    <row r="100" spans="1:7" x14ac:dyDescent="0.3">
      <c r="A100">
        <f>Data_inputs!A100</f>
        <v>97</v>
      </c>
      <c r="B100">
        <f>Data_inputs!B100-Data_inputs!C100</f>
        <v>532.78236181193643</v>
      </c>
      <c r="C100">
        <f>Data_inputs!B100*K_factor</f>
        <v>2340.7640859387775</v>
      </c>
      <c r="D100">
        <f>Data_inputs!C100*K_factor</f>
        <v>1206.3124596421974</v>
      </c>
      <c r="E100">
        <f t="shared" si="2"/>
        <v>1134.4516262965801</v>
      </c>
      <c r="F100">
        <f>Data_inputs!G100-Data_inputs!H100</f>
        <v>315.62084244235439</v>
      </c>
      <c r="G100">
        <f t="shared" si="3"/>
        <v>672.0503598957614</v>
      </c>
    </row>
    <row r="101" spans="1:7" x14ac:dyDescent="0.3">
      <c r="A101">
        <f>Data_inputs!A101</f>
        <v>98</v>
      </c>
      <c r="B101">
        <f>Data_inputs!B101-Data_inputs!C101</f>
        <v>295.54299579267797</v>
      </c>
      <c r="C101">
        <f>Data_inputs!B101*K_factor</f>
        <v>1698.4347594491805</v>
      </c>
      <c r="D101">
        <f>Data_inputs!C101*K_factor</f>
        <v>1069.1360884546723</v>
      </c>
      <c r="E101">
        <f t="shared" si="2"/>
        <v>629.29867099450826</v>
      </c>
      <c r="F101">
        <f>Data_inputs!G101-Data_inputs!H101</f>
        <v>220.02359253805298</v>
      </c>
      <c r="G101">
        <f t="shared" si="3"/>
        <v>468.49546882431747</v>
      </c>
    </row>
    <row r="102" spans="1:7" x14ac:dyDescent="0.3">
      <c r="A102">
        <f>Data_inputs!A102</f>
        <v>99</v>
      </c>
      <c r="B102">
        <f>Data_inputs!B102-Data_inputs!C102</f>
        <v>1190.8551303734989</v>
      </c>
      <c r="C102">
        <f>Data_inputs!B102*K_factor</f>
        <v>4641.6127193969987</v>
      </c>
      <c r="D102">
        <f>Data_inputs!C102*K_factor</f>
        <v>2105.929040340237</v>
      </c>
      <c r="E102">
        <f t="shared" si="2"/>
        <v>2535.6836790567618</v>
      </c>
      <c r="F102">
        <f>Data_inputs!G102-Data_inputs!H102</f>
        <v>41.02820013807991</v>
      </c>
      <c r="G102">
        <f t="shared" si="3"/>
        <v>87.361203573581861</v>
      </c>
    </row>
    <row r="103" spans="1:7" x14ac:dyDescent="0.3">
      <c r="A103">
        <f>Data_inputs!A103</f>
        <v>100</v>
      </c>
      <c r="B103">
        <f>Data_inputs!B103-Data_inputs!C103</f>
        <v>686.54826685634464</v>
      </c>
      <c r="C103">
        <f>Data_inputs!B103*K_factor</f>
        <v>3402.8276727968764</v>
      </c>
      <c r="D103">
        <f>Data_inputs!C103*K_factor</f>
        <v>1940.9628407527516</v>
      </c>
      <c r="E103">
        <f t="shared" si="2"/>
        <v>1461.8648320441248</v>
      </c>
      <c r="F103">
        <f>Data_inputs!G103-Data_inputs!H103</f>
        <v>155.84272151888376</v>
      </c>
      <c r="G103">
        <f t="shared" si="3"/>
        <v>331.83536382908426</v>
      </c>
    </row>
    <row r="104" spans="1:7" x14ac:dyDescent="0.3">
      <c r="A104">
        <f>Data_inputs!A104</f>
        <v>101</v>
      </c>
      <c r="B104">
        <f>Data_inputs!B104-Data_inputs!C104</f>
        <v>515.21758856589986</v>
      </c>
      <c r="C104">
        <f>Data_inputs!B104*K_factor</f>
        <v>2629.1928762557172</v>
      </c>
      <c r="D104">
        <f>Data_inputs!C104*K_factor</f>
        <v>1532.1418604199064</v>
      </c>
      <c r="E104">
        <f t="shared" si="2"/>
        <v>1097.0510158358109</v>
      </c>
      <c r="F104">
        <f>Data_inputs!G104-Data_inputs!H104</f>
        <v>329.57202349974114</v>
      </c>
      <c r="G104">
        <f t="shared" si="3"/>
        <v>701.75656110235661</v>
      </c>
    </row>
    <row r="105" spans="1:7" x14ac:dyDescent="0.3">
      <c r="A105">
        <f>Data_inputs!A105</f>
        <v>102</v>
      </c>
      <c r="B105">
        <f>Data_inputs!B105-Data_inputs!C105</f>
        <v>363.98307638777487</v>
      </c>
      <c r="C105">
        <f>Data_inputs!B105*K_factor</f>
        <v>2620.8269244534345</v>
      </c>
      <c r="D105">
        <f>Data_inputs!C105*K_factor</f>
        <v>1845.7990283567201</v>
      </c>
      <c r="E105">
        <f t="shared" si="2"/>
        <v>775.02789609671436</v>
      </c>
      <c r="F105">
        <f>Data_inputs!G105-Data_inputs!H105</f>
        <v>360.50253988942404</v>
      </c>
      <c r="G105">
        <f t="shared" si="3"/>
        <v>767.61680186020419</v>
      </c>
    </row>
    <row r="106" spans="1:7" x14ac:dyDescent="0.3">
      <c r="A106">
        <f>Data_inputs!A106</f>
        <v>103</v>
      </c>
      <c r="B106">
        <f>Data_inputs!B106-Data_inputs!C106</f>
        <v>150.88359999787235</v>
      </c>
      <c r="C106">
        <f>Data_inputs!B106*K_factor</f>
        <v>1581.1733343929607</v>
      </c>
      <c r="D106">
        <f>Data_inputs!C106*K_factor</f>
        <v>1259.8974107363715</v>
      </c>
      <c r="E106">
        <f t="shared" si="2"/>
        <v>321.27592365658916</v>
      </c>
      <c r="F106">
        <f>Data_inputs!G106-Data_inputs!H106</f>
        <v>187.39230757169946</v>
      </c>
      <c r="G106">
        <f t="shared" si="3"/>
        <v>399.01378746322564</v>
      </c>
    </row>
    <row r="107" spans="1:7" x14ac:dyDescent="0.3">
      <c r="A107">
        <f>Data_inputs!A107</f>
        <v>104</v>
      </c>
      <c r="B107">
        <f>Data_inputs!B107-Data_inputs!C107</f>
        <v>135.17600307337977</v>
      </c>
      <c r="C107">
        <f>Data_inputs!B107*K_factor</f>
        <v>1876.5657373854644</v>
      </c>
      <c r="D107">
        <f>Data_inputs!C107*K_factor</f>
        <v>1588.7359451203117</v>
      </c>
      <c r="E107">
        <f t="shared" si="2"/>
        <v>287.82979226515272</v>
      </c>
      <c r="F107">
        <f>Data_inputs!G107-Data_inputs!H107</f>
        <v>244.33997038664097</v>
      </c>
      <c r="G107">
        <f t="shared" si="3"/>
        <v>520.27224743642569</v>
      </c>
    </row>
    <row r="108" spans="1:7" x14ac:dyDescent="0.3">
      <c r="A108">
        <f>Data_inputs!A108</f>
        <v>105</v>
      </c>
      <c r="B108">
        <f>Data_inputs!B108-Data_inputs!C108</f>
        <v>280.81259672792106</v>
      </c>
      <c r="C108">
        <f>Data_inputs!B108*K_factor</f>
        <v>1565.3619178024351</v>
      </c>
      <c r="D108">
        <f>Data_inputs!C108*K_factor</f>
        <v>967.4286342020946</v>
      </c>
      <c r="E108">
        <f t="shared" si="2"/>
        <v>597.93328360034047</v>
      </c>
      <c r="F108">
        <f>Data_inputs!G108-Data_inputs!H108</f>
        <v>266.93439283624502</v>
      </c>
      <c r="G108">
        <f t="shared" si="3"/>
        <v>568.38247241837257</v>
      </c>
    </row>
    <row r="109" spans="1:7" x14ac:dyDescent="0.3">
      <c r="A109">
        <f>Data_inputs!A109</f>
        <v>106</v>
      </c>
      <c r="B109">
        <f>Data_inputs!B109-Data_inputs!C109</f>
        <v>280.43697869368339</v>
      </c>
      <c r="C109">
        <f>Data_inputs!B109*K_factor</f>
        <v>2157.5758889529516</v>
      </c>
      <c r="D109">
        <f>Data_inputs!C109*K_factor</f>
        <v>1560.4424075239106</v>
      </c>
      <c r="E109">
        <f t="shared" si="2"/>
        <v>597.13348142904101</v>
      </c>
      <c r="F109">
        <f>Data_inputs!G109-Data_inputs!H109</f>
        <v>277.407994004893</v>
      </c>
      <c r="G109">
        <f t="shared" si="3"/>
        <v>590.68387488700114</v>
      </c>
    </row>
    <row r="110" spans="1:7" x14ac:dyDescent="0.3">
      <c r="A110">
        <f>Data_inputs!A110</f>
        <v>107</v>
      </c>
      <c r="B110">
        <f>Data_inputs!B110-Data_inputs!C110</f>
        <v>265.61948771406492</v>
      </c>
      <c r="C110">
        <f>Data_inputs!B110*K_factor</f>
        <v>1733.0557447490994</v>
      </c>
      <c r="D110">
        <f>Data_inputs!C110*K_factor</f>
        <v>1167.4730952250318</v>
      </c>
      <c r="E110">
        <f t="shared" si="2"/>
        <v>565.58264952406762</v>
      </c>
      <c r="F110">
        <f>Data_inputs!G110-Data_inputs!H110</f>
        <v>153.01880278601402</v>
      </c>
      <c r="G110">
        <f t="shared" si="3"/>
        <v>325.8224035123456</v>
      </c>
    </row>
    <row r="111" spans="1:7" x14ac:dyDescent="0.3">
      <c r="A111">
        <f>Data_inputs!A111</f>
        <v>108</v>
      </c>
      <c r="B111">
        <f>Data_inputs!B111-Data_inputs!C111</f>
        <v>381.69827888513782</v>
      </c>
      <c r="C111">
        <f>Data_inputs!B111*K_factor</f>
        <v>3381.4962462141807</v>
      </c>
      <c r="D111">
        <f>Data_inputs!C111*K_factor</f>
        <v>2568.7474311760834</v>
      </c>
      <c r="E111">
        <f t="shared" si="2"/>
        <v>812.74881503809729</v>
      </c>
      <c r="F111">
        <f>Data_inputs!G111-Data_inputs!H111</f>
        <v>-15.573448837726119</v>
      </c>
      <c r="G111">
        <f t="shared" si="3"/>
        <v>-33.160490337781226</v>
      </c>
    </row>
    <row r="112" spans="1:7" x14ac:dyDescent="0.3">
      <c r="A112">
        <f>Data_inputs!A112</f>
        <v>109</v>
      </c>
      <c r="B112">
        <f>Data_inputs!B112-Data_inputs!C112</f>
        <v>430.40181635688975</v>
      </c>
      <c r="C112">
        <f>Data_inputs!B112*K_factor</f>
        <v>2058.6623734324507</v>
      </c>
      <c r="D112">
        <f>Data_inputs!C112*K_factor</f>
        <v>1142.2092857842017</v>
      </c>
      <c r="E112">
        <f t="shared" si="2"/>
        <v>916.45308764824904</v>
      </c>
      <c r="F112">
        <f>Data_inputs!G112-Data_inputs!H112</f>
        <v>273.94106492801188</v>
      </c>
      <c r="G112">
        <f t="shared" si="3"/>
        <v>583.30175488560553</v>
      </c>
    </row>
    <row r="113" spans="1:7" x14ac:dyDescent="0.3">
      <c r="A113">
        <f>Data_inputs!A113</f>
        <v>110</v>
      </c>
      <c r="B113">
        <f>Data_inputs!B113-Data_inputs!C113</f>
        <v>284.67581998396702</v>
      </c>
      <c r="C113">
        <f>Data_inputs!B113*K_factor</f>
        <v>1869.732308955595</v>
      </c>
      <c r="D113">
        <f>Data_inputs!C113*K_factor</f>
        <v>1263.5730775392212</v>
      </c>
      <c r="E113">
        <f t="shared" si="2"/>
        <v>606.15923141637381</v>
      </c>
      <c r="F113">
        <f>Data_inputs!G113-Data_inputs!H113</f>
        <v>203.31755526442907</v>
      </c>
      <c r="G113">
        <f t="shared" si="3"/>
        <v>432.92336187697123</v>
      </c>
    </row>
    <row r="114" spans="1:7" x14ac:dyDescent="0.3">
      <c r="A114">
        <f>Data_inputs!A114</f>
        <v>111</v>
      </c>
      <c r="B114">
        <f>Data_inputs!B114-Data_inputs!C114</f>
        <v>353.51354038887303</v>
      </c>
      <c r="C114">
        <f>Data_inputs!B114*K_factor</f>
        <v>2032.3486289755876</v>
      </c>
      <c r="D114">
        <f>Data_inputs!C114*K_factor</f>
        <v>1279.6134793957281</v>
      </c>
      <c r="E114">
        <f t="shared" si="2"/>
        <v>752.73514957985958</v>
      </c>
      <c r="F114">
        <f>Data_inputs!G114-Data_inputs!H114</f>
        <v>366.55654220525321</v>
      </c>
      <c r="G114">
        <f t="shared" si="3"/>
        <v>780.50756789352113</v>
      </c>
    </row>
    <row r="115" spans="1:7" x14ac:dyDescent="0.3">
      <c r="A115">
        <f>Data_inputs!A115</f>
        <v>112</v>
      </c>
      <c r="B115">
        <f>Data_inputs!B115-Data_inputs!C115</f>
        <v>241.05238489295766</v>
      </c>
      <c r="C115">
        <f>Data_inputs!B115*K_factor</f>
        <v>1626.1349797063176</v>
      </c>
      <c r="D115">
        <f>Data_inputs!C115*K_factor</f>
        <v>1112.8629766045842</v>
      </c>
      <c r="E115">
        <f t="shared" si="2"/>
        <v>513.27200310173339</v>
      </c>
      <c r="F115">
        <f>Data_inputs!G115-Data_inputs!H115</f>
        <v>95.543338323190369</v>
      </c>
      <c r="G115">
        <f t="shared" si="3"/>
        <v>203.44009732966225</v>
      </c>
    </row>
    <row r="116" spans="1:7" x14ac:dyDescent="0.3">
      <c r="A116">
        <f>Data_inputs!A116</f>
        <v>113</v>
      </c>
      <c r="B116">
        <f>Data_inputs!B116-Data_inputs!C116</f>
        <v>1078.6144609064959</v>
      </c>
      <c r="C116">
        <f>Data_inputs!B116*K_factor</f>
        <v>4123.5989844035903</v>
      </c>
      <c r="D116">
        <f>Data_inputs!C116*K_factor</f>
        <v>1826.90897169197</v>
      </c>
      <c r="E116">
        <f t="shared" si="2"/>
        <v>2296.6900127116205</v>
      </c>
      <c r="F116">
        <f>Data_inputs!G116-Data_inputs!H116</f>
        <v>186.191849808401</v>
      </c>
      <c r="G116">
        <f t="shared" si="3"/>
        <v>396.45765693134632</v>
      </c>
    </row>
    <row r="117" spans="1:7" x14ac:dyDescent="0.3">
      <c r="A117">
        <f>Data_inputs!A117</f>
        <v>114</v>
      </c>
      <c r="B117">
        <f>Data_inputs!B117-Data_inputs!C117</f>
        <v>311.94643855193436</v>
      </c>
      <c r="C117">
        <f>Data_inputs!B117*K_factor</f>
        <v>1702.4141251567257</v>
      </c>
      <c r="D117">
        <f>Data_inputs!C117*K_factor</f>
        <v>1038.187660659793</v>
      </c>
      <c r="E117">
        <f t="shared" si="2"/>
        <v>664.22646449693275</v>
      </c>
      <c r="F117">
        <f>Data_inputs!G117-Data_inputs!H117</f>
        <v>165.11491019138407</v>
      </c>
      <c r="G117">
        <f t="shared" si="3"/>
        <v>351.57860285650474</v>
      </c>
    </row>
    <row r="118" spans="1:7" x14ac:dyDescent="0.3">
      <c r="A118">
        <f>Data_inputs!A118</f>
        <v>115</v>
      </c>
      <c r="B118">
        <f>Data_inputs!B118-Data_inputs!C118</f>
        <v>873.84017113088601</v>
      </c>
      <c r="C118">
        <f>Data_inputs!B118*K_factor</f>
        <v>4026.4944810620914</v>
      </c>
      <c r="D118">
        <f>Data_inputs!C118*K_factor</f>
        <v>2165.8296499454809</v>
      </c>
      <c r="E118">
        <f t="shared" si="2"/>
        <v>1860.6648311166105</v>
      </c>
      <c r="F118">
        <f>Data_inputs!G118-Data_inputs!H118</f>
        <v>87.035176256471914</v>
      </c>
      <c r="G118">
        <f t="shared" si="3"/>
        <v>185.32369749135333</v>
      </c>
    </row>
    <row r="119" spans="1:7" x14ac:dyDescent="0.3">
      <c r="A119">
        <f>Data_inputs!A119</f>
        <v>116</v>
      </c>
      <c r="B119">
        <f>Data_inputs!B119-Data_inputs!C119</f>
        <v>212.84818809063358</v>
      </c>
      <c r="C119">
        <f>Data_inputs!B119*K_factor</f>
        <v>1844.3570374980143</v>
      </c>
      <c r="D119">
        <f>Data_inputs!C119*K_factor</f>
        <v>1391.1401323578</v>
      </c>
      <c r="E119">
        <f t="shared" si="2"/>
        <v>453.21690514021429</v>
      </c>
      <c r="F119">
        <f>Data_inputs!G119-Data_inputs!H119</f>
        <v>277.21542434493199</v>
      </c>
      <c r="G119">
        <f t="shared" si="3"/>
        <v>590.27383698113806</v>
      </c>
    </row>
    <row r="120" spans="1:7" x14ac:dyDescent="0.3">
      <c r="A120">
        <f>Data_inputs!A120</f>
        <v>117</v>
      </c>
      <c r="B120">
        <f>Data_inputs!B120-Data_inputs!C120</f>
        <v>288.18926069828007</v>
      </c>
      <c r="C120">
        <f>Data_inputs!B120*K_factor</f>
        <v>1352.3086282611905</v>
      </c>
      <c r="D120">
        <f>Data_inputs!C120*K_factor</f>
        <v>738.66823977592685</v>
      </c>
      <c r="E120">
        <f t="shared" si="2"/>
        <v>613.64038848526366</v>
      </c>
      <c r="F120">
        <f>Data_inputs!G120-Data_inputs!H120</f>
        <v>189.83114449299671</v>
      </c>
      <c r="G120">
        <f t="shared" si="3"/>
        <v>404.20679442056638</v>
      </c>
    </row>
    <row r="121" spans="1:7" x14ac:dyDescent="0.3">
      <c r="A121">
        <f>Data_inputs!A121</f>
        <v>118</v>
      </c>
      <c r="B121">
        <f>Data_inputs!B121-Data_inputs!C121</f>
        <v>611.42490497265158</v>
      </c>
      <c r="C121">
        <f>Data_inputs!B121*K_factor</f>
        <v>2948.9354534882191</v>
      </c>
      <c r="D121">
        <f>Data_inputs!C121*K_factor</f>
        <v>1647.0305341033361</v>
      </c>
      <c r="E121">
        <f t="shared" si="2"/>
        <v>1301.904919384883</v>
      </c>
      <c r="F121">
        <f>Data_inputs!G121-Data_inputs!H121</f>
        <v>336.40993129236404</v>
      </c>
      <c r="G121">
        <f t="shared" si="3"/>
        <v>716.31649433555424</v>
      </c>
    </row>
    <row r="122" spans="1:7" x14ac:dyDescent="0.3">
      <c r="A122">
        <f>Data_inputs!A122</f>
        <v>119</v>
      </c>
      <c r="B122">
        <f>Data_inputs!B122-Data_inputs!C122</f>
        <v>360.94111778813755</v>
      </c>
      <c r="C122">
        <f>Data_inputs!B122*K_factor</f>
        <v>1821.6680566838575</v>
      </c>
      <c r="D122">
        <f>Data_inputs!C122*K_factor</f>
        <v>1053.1173924323359</v>
      </c>
      <c r="E122">
        <f t="shared" si="2"/>
        <v>768.55066425152154</v>
      </c>
      <c r="F122">
        <f>Data_inputs!G122-Data_inputs!H122</f>
        <v>242.90035229514797</v>
      </c>
      <c r="G122">
        <f t="shared" si="3"/>
        <v>517.20687365117885</v>
      </c>
    </row>
    <row r="123" spans="1:7" x14ac:dyDescent="0.3">
      <c r="A123">
        <f>Data_inputs!A123</f>
        <v>120</v>
      </c>
      <c r="B123">
        <f>Data_inputs!B123-Data_inputs!C123</f>
        <v>360.00450090660456</v>
      </c>
      <c r="C123">
        <f>Data_inputs!B123*K_factor</f>
        <v>1879.1800018416661</v>
      </c>
      <c r="D123">
        <f>Data_inputs!C123*K_factor</f>
        <v>1112.623672651948</v>
      </c>
      <c r="E123">
        <f t="shared" si="2"/>
        <v>766.5563291897181</v>
      </c>
      <c r="F123">
        <f>Data_inputs!G123-Data_inputs!H123</f>
        <v>319.63414494025892</v>
      </c>
      <c r="G123">
        <f t="shared" si="3"/>
        <v>680.59587091846868</v>
      </c>
    </row>
    <row r="124" spans="1:7" x14ac:dyDescent="0.3">
      <c r="A124">
        <f>Data_inputs!A124</f>
        <v>121</v>
      </c>
      <c r="B124">
        <f>Data_inputs!B124-Data_inputs!C124</f>
        <v>257.60432544307929</v>
      </c>
      <c r="C124">
        <f>Data_inputs!B124*K_factor</f>
        <v>1509.7319107064195</v>
      </c>
      <c r="D124">
        <f>Data_inputs!C124*K_factor</f>
        <v>961.21591827367695</v>
      </c>
      <c r="E124">
        <f t="shared" si="2"/>
        <v>548.51599243274256</v>
      </c>
      <c r="F124">
        <f>Data_inputs!G124-Data_inputs!H124</f>
        <v>99.428489222224016</v>
      </c>
      <c r="G124">
        <f t="shared" si="3"/>
        <v>211.71273559949321</v>
      </c>
    </row>
    <row r="125" spans="1:7" x14ac:dyDescent="0.3">
      <c r="A125">
        <f>Data_inputs!A125</f>
        <v>122</v>
      </c>
      <c r="B125">
        <f>Data_inputs!B125-Data_inputs!C125</f>
        <v>247.41975498125612</v>
      </c>
      <c r="C125">
        <f>Data_inputs!B125*K_factor</f>
        <v>2875.6467436038492</v>
      </c>
      <c r="D125">
        <f>Data_inputs!C125*K_factor</f>
        <v>2348.8167215629451</v>
      </c>
      <c r="E125">
        <f t="shared" si="2"/>
        <v>526.83002204090417</v>
      </c>
      <c r="F125">
        <f>Data_inputs!G125-Data_inputs!H125</f>
        <v>-184.5706857628029</v>
      </c>
      <c r="G125">
        <f t="shared" si="3"/>
        <v>-393.0057179786985</v>
      </c>
    </row>
    <row r="126" spans="1:7" x14ac:dyDescent="0.3">
      <c r="A126">
        <f>Data_inputs!A126</f>
        <v>123</v>
      </c>
      <c r="B126">
        <f>Data_inputs!B126-Data_inputs!C126</f>
        <v>239.4765319432754</v>
      </c>
      <c r="C126">
        <f>Data_inputs!B126*K_factor</f>
        <v>2147.5749971575715</v>
      </c>
      <c r="D126">
        <f>Data_inputs!C126*K_factor</f>
        <v>1637.6584522498583</v>
      </c>
      <c r="E126">
        <f t="shared" si="2"/>
        <v>509.91654490771316</v>
      </c>
      <c r="F126">
        <f>Data_inputs!G126-Data_inputs!H126</f>
        <v>381.06820106620717</v>
      </c>
      <c r="G126">
        <f t="shared" si="3"/>
        <v>811.40719253402585</v>
      </c>
    </row>
    <row r="127" spans="1:7" x14ac:dyDescent="0.3">
      <c r="A127">
        <f>Data_inputs!A127</f>
        <v>124</v>
      </c>
      <c r="B127">
        <f>Data_inputs!B127-Data_inputs!C127</f>
        <v>343.18128765552194</v>
      </c>
      <c r="C127">
        <f>Data_inputs!B127*K_factor</f>
        <v>1912.7113457642017</v>
      </c>
      <c r="D127">
        <f>Data_inputs!C127*K_factor</f>
        <v>1181.9766259222827</v>
      </c>
      <c r="E127">
        <f t="shared" si="2"/>
        <v>730.73471984191906</v>
      </c>
      <c r="F127">
        <f>Data_inputs!G127-Data_inputs!H127</f>
        <v>466.04707207647732</v>
      </c>
      <c r="G127">
        <f t="shared" si="3"/>
        <v>992.35240643072291</v>
      </c>
    </row>
    <row r="128" spans="1:7" x14ac:dyDescent="0.3">
      <c r="A128">
        <f>Data_inputs!A128</f>
        <v>125</v>
      </c>
      <c r="B128">
        <f>Data_inputs!B128-Data_inputs!C128</f>
        <v>302.13714066114881</v>
      </c>
      <c r="C128">
        <f>Data_inputs!B128*K_factor</f>
        <v>3046.3969569112764</v>
      </c>
      <c r="D128">
        <f>Data_inputs!C128*K_factor</f>
        <v>2403.0573962284707</v>
      </c>
      <c r="E128">
        <f t="shared" si="2"/>
        <v>643.33956068280577</v>
      </c>
      <c r="F128">
        <f>Data_inputs!G128-Data_inputs!H128</f>
        <v>355.64319307501364</v>
      </c>
      <c r="G128">
        <f t="shared" si="3"/>
        <v>757.26981162276672</v>
      </c>
    </row>
    <row r="129" spans="1:7" x14ac:dyDescent="0.3">
      <c r="A129">
        <f>Data_inputs!A129</f>
        <v>126</v>
      </c>
      <c r="B129">
        <f>Data_inputs!B129-Data_inputs!C129</f>
        <v>568.31462576062529</v>
      </c>
      <c r="C129">
        <f>Data_inputs!B129*K_factor</f>
        <v>2499.9415029087427</v>
      </c>
      <c r="D129">
        <f>Data_inputs!C129*K_factor</f>
        <v>1289.8311508136946</v>
      </c>
      <c r="E129">
        <f t="shared" si="2"/>
        <v>1210.110352095048</v>
      </c>
      <c r="F129">
        <f>Data_inputs!G129-Data_inputs!H129</f>
        <v>356.89743173642296</v>
      </c>
      <c r="G129">
        <f t="shared" si="3"/>
        <v>759.94045763357087</v>
      </c>
    </row>
    <row r="130" spans="1:7" x14ac:dyDescent="0.3">
      <c r="A130">
        <f>Data_inputs!A130</f>
        <v>127</v>
      </c>
      <c r="B130">
        <f>Data_inputs!B130-Data_inputs!C130</f>
        <v>1176.9265460124861</v>
      </c>
      <c r="C130">
        <f>Data_inputs!B130*K_factor</f>
        <v>4551.1479945785559</v>
      </c>
      <c r="D130">
        <f>Data_inputs!C130*K_factor</f>
        <v>2045.1224016615483</v>
      </c>
      <c r="E130">
        <f t="shared" si="2"/>
        <v>2506.0255929170075</v>
      </c>
      <c r="F130">
        <f>Data_inputs!G130-Data_inputs!H130</f>
        <v>312.06876928583097</v>
      </c>
      <c r="G130">
        <f t="shared" si="3"/>
        <v>664.48694290230458</v>
      </c>
    </row>
    <row r="131" spans="1:7" x14ac:dyDescent="0.3">
      <c r="A131">
        <f>Data_inputs!A131</f>
        <v>128</v>
      </c>
      <c r="B131">
        <f>Data_inputs!B131-Data_inputs!C131</f>
        <v>437.6069132244138</v>
      </c>
      <c r="C131">
        <f>Data_inputs!B131*K_factor</f>
        <v>2504.0818336525444</v>
      </c>
      <c r="D131">
        <f>Data_inputs!C131*K_factor</f>
        <v>1572.2869583535396</v>
      </c>
      <c r="E131">
        <f t="shared" si="2"/>
        <v>931.79487529900484</v>
      </c>
      <c r="F131">
        <f>Data_inputs!G131-Data_inputs!H131</f>
        <v>319.91487124660534</v>
      </c>
      <c r="G131">
        <f t="shared" si="3"/>
        <v>681.19362046426033</v>
      </c>
    </row>
    <row r="132" spans="1:7" x14ac:dyDescent="0.3">
      <c r="A132">
        <f>Data_inputs!A132</f>
        <v>129</v>
      </c>
      <c r="B132">
        <f>Data_inputs!B132-Data_inputs!C132</f>
        <v>552.34383285472495</v>
      </c>
      <c r="C132">
        <f>Data_inputs!B132*K_factor</f>
        <v>2885.2719754082141</v>
      </c>
      <c r="D132">
        <f>Data_inputs!C132*K_factor</f>
        <v>1709.168176990594</v>
      </c>
      <c r="E132">
        <f t="shared" ref="E132:E195" si="4">C132-D132</f>
        <v>1176.1037984176201</v>
      </c>
      <c r="F132">
        <f>Data_inputs!G132-Data_inputs!H132</f>
        <v>13.901959879097831</v>
      </c>
      <c r="G132">
        <f t="shared" ref="G132:G195" si="5">F132*K_factor</f>
        <v>29.6013947231971</v>
      </c>
    </row>
    <row r="133" spans="1:7" x14ac:dyDescent="0.3">
      <c r="A133">
        <f>Data_inputs!A133</f>
        <v>130</v>
      </c>
      <c r="B133">
        <f>Data_inputs!B133-Data_inputs!C133</f>
        <v>226.15431229750061</v>
      </c>
      <c r="C133">
        <f>Data_inputs!B133*K_factor</f>
        <v>1738.9057767726781</v>
      </c>
      <c r="D133">
        <f>Data_inputs!C133*K_factor</f>
        <v>1257.356187729702</v>
      </c>
      <c r="E133">
        <f t="shared" si="4"/>
        <v>481.54958904297609</v>
      </c>
      <c r="F133">
        <f>Data_inputs!G133-Data_inputs!H133</f>
        <v>345.27128318792802</v>
      </c>
      <c r="G133">
        <f t="shared" si="5"/>
        <v>735.18494004558193</v>
      </c>
    </row>
    <row r="134" spans="1:7" x14ac:dyDescent="0.3">
      <c r="A134">
        <f>Data_inputs!A134</f>
        <v>131</v>
      </c>
      <c r="B134">
        <f>Data_inputs!B134-Data_inputs!C134</f>
        <v>260.43894881280391</v>
      </c>
      <c r="C134">
        <f>Data_inputs!B134*K_factor</f>
        <v>1831.756153802625</v>
      </c>
      <c r="D134">
        <f>Data_inputs!C134*K_factor</f>
        <v>1277.2044077071937</v>
      </c>
      <c r="E134">
        <f t="shared" si="4"/>
        <v>554.55174609543133</v>
      </c>
      <c r="F134">
        <f>Data_inputs!G134-Data_inputs!H134</f>
        <v>222.14649318451893</v>
      </c>
      <c r="G134">
        <f t="shared" si="5"/>
        <v>473.01575377267591</v>
      </c>
    </row>
    <row r="135" spans="1:7" x14ac:dyDescent="0.3">
      <c r="A135">
        <f>Data_inputs!A135</f>
        <v>132</v>
      </c>
      <c r="B135">
        <f>Data_inputs!B135-Data_inputs!C135</f>
        <v>861.26469268292794</v>
      </c>
      <c r="C135">
        <f>Data_inputs!B135*K_factor</f>
        <v>4109.9313270215234</v>
      </c>
      <c r="D135">
        <f>Data_inputs!C135*K_factor</f>
        <v>2276.0434183394805</v>
      </c>
      <c r="E135">
        <f t="shared" si="4"/>
        <v>1833.887908682043</v>
      </c>
      <c r="F135">
        <f>Data_inputs!G135-Data_inputs!H135</f>
        <v>171.22916399503174</v>
      </c>
      <c r="G135">
        <f t="shared" si="5"/>
        <v>364.59766217286136</v>
      </c>
    </row>
    <row r="136" spans="1:7" x14ac:dyDescent="0.3">
      <c r="A136">
        <f>Data_inputs!A136</f>
        <v>133</v>
      </c>
      <c r="B136">
        <f>Data_inputs!B136-Data_inputs!C136</f>
        <v>393.32993321355207</v>
      </c>
      <c r="C136">
        <f>Data_inputs!B136*K_factor</f>
        <v>1992.8066489125101</v>
      </c>
      <c r="D136">
        <f>Data_inputs!C136*K_factor</f>
        <v>1155.2905928484288</v>
      </c>
      <c r="E136">
        <f t="shared" si="4"/>
        <v>837.51605606408134</v>
      </c>
      <c r="F136">
        <f>Data_inputs!G136-Data_inputs!H136</f>
        <v>274.07907112102976</v>
      </c>
      <c r="G136">
        <f t="shared" si="5"/>
        <v>583.5956109914564</v>
      </c>
    </row>
    <row r="137" spans="1:7" x14ac:dyDescent="0.3">
      <c r="A137">
        <f>Data_inputs!A137</f>
        <v>134</v>
      </c>
      <c r="B137">
        <f>Data_inputs!B137-Data_inputs!C137</f>
        <v>111.32411918796441</v>
      </c>
      <c r="C137">
        <f>Data_inputs!B137*K_factor</f>
        <v>1264.2772116038</v>
      </c>
      <c r="D137">
        <f>Data_inputs!C137*K_factor</f>
        <v>1027.235152573701</v>
      </c>
      <c r="E137">
        <f t="shared" si="4"/>
        <v>237.04205903009893</v>
      </c>
      <c r="F137">
        <f>Data_inputs!G137-Data_inputs!H137</f>
        <v>123.81471683016241</v>
      </c>
      <c r="G137">
        <f t="shared" si="5"/>
        <v>263.63824506076469</v>
      </c>
    </row>
    <row r="138" spans="1:7" x14ac:dyDescent="0.3">
      <c r="A138">
        <f>Data_inputs!A138</f>
        <v>135</v>
      </c>
      <c r="B138">
        <f>Data_inputs!B138-Data_inputs!C138</f>
        <v>338.52633682248484</v>
      </c>
      <c r="C138">
        <f>Data_inputs!B138*K_factor</f>
        <v>1806.8343882208562</v>
      </c>
      <c r="D138">
        <f>Data_inputs!C138*K_factor</f>
        <v>1086.0114389655421</v>
      </c>
      <c r="E138">
        <f t="shared" si="4"/>
        <v>720.82294925531414</v>
      </c>
      <c r="F138">
        <f>Data_inputs!G138-Data_inputs!H138</f>
        <v>293.48340085820291</v>
      </c>
      <c r="G138">
        <f t="shared" si="5"/>
        <v>624.91318267807605</v>
      </c>
    </row>
    <row r="139" spans="1:7" x14ac:dyDescent="0.3">
      <c r="A139">
        <f>Data_inputs!A139</f>
        <v>136</v>
      </c>
      <c r="B139">
        <f>Data_inputs!B139-Data_inputs!C139</f>
        <v>1258.1450968114011</v>
      </c>
      <c r="C139">
        <f>Data_inputs!B139*K_factor</f>
        <v>4890.7338330533412</v>
      </c>
      <c r="D139">
        <f>Data_inputs!C139*K_factor</f>
        <v>2211.76986296122</v>
      </c>
      <c r="E139">
        <f t="shared" si="4"/>
        <v>2678.9639700921211</v>
      </c>
      <c r="F139">
        <f>Data_inputs!G139-Data_inputs!H139</f>
        <v>195.4121435325369</v>
      </c>
      <c r="G139">
        <f t="shared" si="5"/>
        <v>416.0903962260648</v>
      </c>
    </row>
    <row r="140" spans="1:7" x14ac:dyDescent="0.3">
      <c r="A140">
        <f>Data_inputs!A140</f>
        <v>137</v>
      </c>
      <c r="B140">
        <f>Data_inputs!B140-Data_inputs!C140</f>
        <v>842.2776840806348</v>
      </c>
      <c r="C140">
        <f>Data_inputs!B140*K_factor</f>
        <v>3305.909279536289</v>
      </c>
      <c r="D140">
        <f>Data_inputs!C140*K_factor</f>
        <v>1512.4503421027005</v>
      </c>
      <c r="E140">
        <f t="shared" si="4"/>
        <v>1793.4589374335885</v>
      </c>
      <c r="F140">
        <f>Data_inputs!G140-Data_inputs!H140</f>
        <v>176.7459028030471</v>
      </c>
      <c r="G140">
        <f t="shared" si="5"/>
        <v>376.34443489131638</v>
      </c>
    </row>
    <row r="141" spans="1:7" x14ac:dyDescent="0.3">
      <c r="A141">
        <f>Data_inputs!A141</f>
        <v>138</v>
      </c>
      <c r="B141">
        <f>Data_inputs!B141-Data_inputs!C141</f>
        <v>415.28108367944935</v>
      </c>
      <c r="C141">
        <f>Data_inputs!B141*K_factor</f>
        <v>2456.8813044713193</v>
      </c>
      <c r="D141">
        <f>Data_inputs!C141*K_factor</f>
        <v>1572.6247402184395</v>
      </c>
      <c r="E141">
        <f t="shared" si="4"/>
        <v>884.2565642528798</v>
      </c>
      <c r="F141">
        <f>Data_inputs!G141-Data_inputs!H141</f>
        <v>349.54453887585896</v>
      </c>
      <c r="G141">
        <f t="shared" si="5"/>
        <v>744.2839684898936</v>
      </c>
    </row>
    <row r="142" spans="1:7" x14ac:dyDescent="0.3">
      <c r="A142">
        <f>Data_inputs!A142</f>
        <v>139</v>
      </c>
      <c r="B142">
        <f>Data_inputs!B142-Data_inputs!C142</f>
        <v>729.41677466870215</v>
      </c>
      <c r="C142">
        <f>Data_inputs!B142*K_factor</f>
        <v>3752.5131138814627</v>
      </c>
      <c r="D142">
        <f>Data_inputs!C142*K_factor</f>
        <v>2199.368517546261</v>
      </c>
      <c r="E142">
        <f t="shared" si="4"/>
        <v>1553.1445963352016</v>
      </c>
      <c r="F142">
        <f>Data_inputs!G142-Data_inputs!H142</f>
        <v>43.344210373262058</v>
      </c>
      <c r="G142">
        <f t="shared" si="5"/>
        <v>92.292676096220191</v>
      </c>
    </row>
    <row r="143" spans="1:7" x14ac:dyDescent="0.3">
      <c r="A143">
        <f>Data_inputs!A143</f>
        <v>140</v>
      </c>
      <c r="B143">
        <f>Data_inputs!B143-Data_inputs!C143</f>
        <v>67.019497001874811</v>
      </c>
      <c r="C143">
        <f>Data_inputs!B143*K_factor</f>
        <v>1943.8060106749056</v>
      </c>
      <c r="D143">
        <f>Data_inputs!C143*K_factor</f>
        <v>1801.101629267112</v>
      </c>
      <c r="E143">
        <f t="shared" si="4"/>
        <v>142.70438140779356</v>
      </c>
      <c r="F143">
        <f>Data_inputs!G143-Data_inputs!H143</f>
        <v>183.56776124966905</v>
      </c>
      <c r="G143">
        <f t="shared" si="5"/>
        <v>390.87019430800495</v>
      </c>
    </row>
    <row r="144" spans="1:7" x14ac:dyDescent="0.3">
      <c r="A144">
        <f>Data_inputs!A144</f>
        <v>141</v>
      </c>
      <c r="B144">
        <f>Data_inputs!B144-Data_inputs!C144</f>
        <v>383.24661923868649</v>
      </c>
      <c r="C144">
        <f>Data_inputs!B144*K_factor</f>
        <v>1765.191356878222</v>
      </c>
      <c r="D144">
        <f>Data_inputs!C144*K_factor</f>
        <v>949.14566612117233</v>
      </c>
      <c r="E144">
        <f t="shared" si="4"/>
        <v>816.04569075704967</v>
      </c>
      <c r="F144">
        <f>Data_inputs!G144-Data_inputs!H144</f>
        <v>218.73891064092004</v>
      </c>
      <c r="G144">
        <f t="shared" si="5"/>
        <v>465.76000013777963</v>
      </c>
    </row>
    <row r="145" spans="1:7" x14ac:dyDescent="0.3">
      <c r="A145">
        <f>Data_inputs!A145</f>
        <v>142</v>
      </c>
      <c r="B145">
        <f>Data_inputs!B145-Data_inputs!C145</f>
        <v>334.62953612593139</v>
      </c>
      <c r="C145">
        <f>Data_inputs!B145*K_factor</f>
        <v>1692.386584203038</v>
      </c>
      <c r="D145">
        <f>Data_inputs!C145*K_factor</f>
        <v>979.86107909081511</v>
      </c>
      <c r="E145">
        <f t="shared" si="4"/>
        <v>712.52550511222285</v>
      </c>
      <c r="F145">
        <f>Data_inputs!G145-Data_inputs!H145</f>
        <v>303.75374388365435</v>
      </c>
      <c r="G145">
        <f t="shared" si="5"/>
        <v>646.7817882907367</v>
      </c>
    </row>
    <row r="146" spans="1:7" x14ac:dyDescent="0.3">
      <c r="A146">
        <f>Data_inputs!A146</f>
        <v>143</v>
      </c>
      <c r="B146">
        <f>Data_inputs!B146-Data_inputs!C146</f>
        <v>391.50725837432208</v>
      </c>
      <c r="C146">
        <f>Data_inputs!B146*K_factor</f>
        <v>1959.7078906511533</v>
      </c>
      <c r="D146">
        <f>Data_inputs!C146*K_factor</f>
        <v>1126.072849770349</v>
      </c>
      <c r="E146">
        <f t="shared" si="4"/>
        <v>833.63504088080435</v>
      </c>
      <c r="F146">
        <f>Data_inputs!G146-Data_inputs!H146</f>
        <v>270.4731681636822</v>
      </c>
      <c r="G146">
        <f t="shared" si="5"/>
        <v>575.91757439069795</v>
      </c>
    </row>
    <row r="147" spans="1:7" x14ac:dyDescent="0.3">
      <c r="A147">
        <f>Data_inputs!A147</f>
        <v>144</v>
      </c>
      <c r="B147">
        <f>Data_inputs!B147-Data_inputs!C147</f>
        <v>819.74047255332812</v>
      </c>
      <c r="C147">
        <f>Data_inputs!B147*K_factor</f>
        <v>3925.8308838380317</v>
      </c>
      <c r="D147">
        <f>Data_inputs!C147*K_factor</f>
        <v>2180.3603523689185</v>
      </c>
      <c r="E147">
        <f t="shared" si="4"/>
        <v>1745.4705314691132</v>
      </c>
      <c r="F147">
        <f>Data_inputs!G147-Data_inputs!H147</f>
        <v>-90.279247795343963</v>
      </c>
      <c r="G147">
        <f t="shared" si="5"/>
        <v>-192.23128771370926</v>
      </c>
    </row>
    <row r="148" spans="1:7" x14ac:dyDescent="0.3">
      <c r="A148">
        <f>Data_inputs!A148</f>
        <v>145</v>
      </c>
      <c r="B148">
        <f>Data_inputs!B148-Data_inputs!C148</f>
        <v>926.37687034394662</v>
      </c>
      <c r="C148">
        <f>Data_inputs!B148*K_factor</f>
        <v>3419.2457463400369</v>
      </c>
      <c r="D148">
        <f>Data_inputs!C148*K_factor</f>
        <v>1446.7147046758091</v>
      </c>
      <c r="E148">
        <f t="shared" si="4"/>
        <v>1972.5310416642278</v>
      </c>
      <c r="F148">
        <f>Data_inputs!G148-Data_inputs!H148</f>
        <v>88.389997908856003</v>
      </c>
      <c r="G148">
        <f t="shared" si="5"/>
        <v>188.20851451431528</v>
      </c>
    </row>
    <row r="149" spans="1:7" x14ac:dyDescent="0.3">
      <c r="A149">
        <f>Data_inputs!A149</f>
        <v>146</v>
      </c>
      <c r="B149">
        <f>Data_inputs!B149-Data_inputs!C149</f>
        <v>361.09373291108011</v>
      </c>
      <c r="C149">
        <f>Data_inputs!B149*K_factor</f>
        <v>2384.2882518124748</v>
      </c>
      <c r="D149">
        <f>Data_inputs!C149*K_factor</f>
        <v>1615.412624711525</v>
      </c>
      <c r="E149">
        <f t="shared" si="4"/>
        <v>768.87562710094971</v>
      </c>
      <c r="F149">
        <f>Data_inputs!G149-Data_inputs!H149</f>
        <v>310.46136365514303</v>
      </c>
      <c r="G149">
        <f t="shared" si="5"/>
        <v>661.06429969457793</v>
      </c>
    </row>
    <row r="150" spans="1:7" x14ac:dyDescent="0.3">
      <c r="A150">
        <f>Data_inputs!A150</f>
        <v>147</v>
      </c>
      <c r="B150">
        <f>Data_inputs!B150-Data_inputs!C150</f>
        <v>379.92262774165249</v>
      </c>
      <c r="C150">
        <f>Data_inputs!B150*K_factor</f>
        <v>2157.3620614558372</v>
      </c>
      <c r="D150">
        <f>Data_inputs!C150*K_factor</f>
        <v>1348.3941342095422</v>
      </c>
      <c r="E150">
        <f t="shared" si="4"/>
        <v>808.96792724629495</v>
      </c>
      <c r="F150">
        <f>Data_inputs!G150-Data_inputs!H150</f>
        <v>251.79326872653473</v>
      </c>
      <c r="G150">
        <f t="shared" si="5"/>
        <v>536.14252961733371</v>
      </c>
    </row>
    <row r="151" spans="1:7" x14ac:dyDescent="0.3">
      <c r="A151">
        <f>Data_inputs!A151</f>
        <v>148</v>
      </c>
      <c r="B151">
        <f>Data_inputs!B151-Data_inputs!C151</f>
        <v>175.91125309183542</v>
      </c>
      <c r="C151">
        <f>Data_inputs!B151*K_factor</f>
        <v>2008.7564120619343</v>
      </c>
      <c r="D151">
        <f>Data_inputs!C151*K_factor</f>
        <v>1634.1891938920046</v>
      </c>
      <c r="E151">
        <f t="shared" si="4"/>
        <v>374.56721816992967</v>
      </c>
      <c r="F151">
        <f>Data_inputs!G151-Data_inputs!H151</f>
        <v>283.0752281862251</v>
      </c>
      <c r="G151">
        <f t="shared" si="5"/>
        <v>602.75109687939357</v>
      </c>
    </row>
    <row r="152" spans="1:7" x14ac:dyDescent="0.3">
      <c r="A152">
        <f>Data_inputs!A152</f>
        <v>149</v>
      </c>
      <c r="B152">
        <f>Data_inputs!B152-Data_inputs!C152</f>
        <v>1035.3163106356749</v>
      </c>
      <c r="C152">
        <f>Data_inputs!B152*K_factor</f>
        <v>4172.2898224527189</v>
      </c>
      <c r="D152">
        <f>Data_inputs!C152*K_factor</f>
        <v>1967.7944102217077</v>
      </c>
      <c r="E152">
        <f t="shared" si="4"/>
        <v>2204.495412231011</v>
      </c>
      <c r="F152">
        <f>Data_inputs!G152-Data_inputs!H152</f>
        <v>92.241450169851987</v>
      </c>
      <c r="G152">
        <f t="shared" si="5"/>
        <v>196.40939839161004</v>
      </c>
    </row>
    <row r="153" spans="1:7" x14ac:dyDescent="0.3">
      <c r="A153">
        <f>Data_inputs!A153</f>
        <v>150</v>
      </c>
      <c r="B153">
        <f>Data_inputs!B153-Data_inputs!C153</f>
        <v>392.01072808342008</v>
      </c>
      <c r="C153">
        <f>Data_inputs!B153*K_factor</f>
        <v>2650.3090076893914</v>
      </c>
      <c r="D153">
        <f>Data_inputs!C153*K_factor</f>
        <v>1815.6019305115619</v>
      </c>
      <c r="E153">
        <f t="shared" si="4"/>
        <v>834.70707717782943</v>
      </c>
      <c r="F153">
        <f>Data_inputs!G153-Data_inputs!H153</f>
        <v>227.3953829190018</v>
      </c>
      <c r="G153">
        <f t="shared" si="5"/>
        <v>484.19219639229362</v>
      </c>
    </row>
    <row r="154" spans="1:7" x14ac:dyDescent="0.3">
      <c r="A154">
        <f>Data_inputs!A154</f>
        <v>151</v>
      </c>
      <c r="B154">
        <f>Data_inputs!B154-Data_inputs!C154</f>
        <v>416.94941092094803</v>
      </c>
      <c r="C154">
        <f>Data_inputs!B154*K_factor</f>
        <v>2233.0101100984916</v>
      </c>
      <c r="D154">
        <f>Data_inputs!C154*K_factor</f>
        <v>1345.2011824642937</v>
      </c>
      <c r="E154">
        <f t="shared" si="4"/>
        <v>887.80892763419797</v>
      </c>
      <c r="F154">
        <f>Data_inputs!G154-Data_inputs!H154</f>
        <v>304.10385672180928</v>
      </c>
      <c r="G154">
        <f t="shared" si="5"/>
        <v>647.52728233690107</v>
      </c>
    </row>
    <row r="155" spans="1:7" x14ac:dyDescent="0.3">
      <c r="A155">
        <f>Data_inputs!A155</f>
        <v>152</v>
      </c>
      <c r="B155">
        <f>Data_inputs!B155-Data_inputs!C155</f>
        <v>544.09435528416475</v>
      </c>
      <c r="C155">
        <f>Data_inputs!B155*K_factor</f>
        <v>2106.8883314502677</v>
      </c>
      <c r="D155">
        <f>Data_inputs!C155*K_factor</f>
        <v>948.35011687478425</v>
      </c>
      <c r="E155">
        <f t="shared" si="4"/>
        <v>1158.5382145754834</v>
      </c>
      <c r="F155">
        <f>Data_inputs!G155-Data_inputs!H155</f>
        <v>378.10139283294393</v>
      </c>
      <c r="G155">
        <f t="shared" si="5"/>
        <v>805.08997810205938</v>
      </c>
    </row>
    <row r="156" spans="1:7" x14ac:dyDescent="0.3">
      <c r="A156">
        <f>Data_inputs!A156</f>
        <v>153</v>
      </c>
      <c r="B156">
        <f>Data_inputs!B156-Data_inputs!C156</f>
        <v>403.66426707730773</v>
      </c>
      <c r="C156">
        <f>Data_inputs!B156*K_factor</f>
        <v>2166.4638359048031</v>
      </c>
      <c r="D156">
        <f>Data_inputs!C156*K_factor</f>
        <v>1306.9429187590636</v>
      </c>
      <c r="E156">
        <f t="shared" si="4"/>
        <v>859.52091714573953</v>
      </c>
      <c r="F156">
        <f>Data_inputs!G156-Data_inputs!H156</f>
        <v>310.26901510861308</v>
      </c>
      <c r="G156">
        <f t="shared" si="5"/>
        <v>660.65473260477302</v>
      </c>
    </row>
    <row r="157" spans="1:7" x14ac:dyDescent="0.3">
      <c r="A157">
        <f>Data_inputs!A157</f>
        <v>154</v>
      </c>
      <c r="B157">
        <f>Data_inputs!B157-Data_inputs!C157</f>
        <v>516.03839250718693</v>
      </c>
      <c r="C157">
        <f>Data_inputs!B157*K_factor</f>
        <v>2717.962192713122</v>
      </c>
      <c r="D157">
        <f>Data_inputs!C157*K_factor</f>
        <v>1619.1634419055736</v>
      </c>
      <c r="E157">
        <f t="shared" si="4"/>
        <v>1098.7987508075485</v>
      </c>
      <c r="F157">
        <f>Data_inputs!G157-Data_inputs!H157</f>
        <v>582.61010816889393</v>
      </c>
      <c r="G157">
        <f t="shared" si="5"/>
        <v>1240.5496729682097</v>
      </c>
    </row>
    <row r="158" spans="1:7" x14ac:dyDescent="0.3">
      <c r="A158">
        <f>Data_inputs!A158</f>
        <v>155</v>
      </c>
      <c r="B158">
        <f>Data_inputs!B158-Data_inputs!C158</f>
        <v>752.97105318371803</v>
      </c>
      <c r="C158">
        <f>Data_inputs!B158*K_factor</f>
        <v>3476.0562643691242</v>
      </c>
      <c r="D158">
        <f>Data_inputs!C158*K_factor</f>
        <v>1872.7576248769262</v>
      </c>
      <c r="E158">
        <f t="shared" si="4"/>
        <v>1603.2986394921979</v>
      </c>
      <c r="F158">
        <f>Data_inputs!G158-Data_inputs!H158</f>
        <v>188.31877866320337</v>
      </c>
      <c r="G158">
        <f t="shared" si="5"/>
        <v>400.98651912967745</v>
      </c>
    </row>
    <row r="159" spans="1:7" x14ac:dyDescent="0.3">
      <c r="A159">
        <f>Data_inputs!A159</f>
        <v>156</v>
      </c>
      <c r="B159">
        <f>Data_inputs!B159-Data_inputs!C159</f>
        <v>381.12724162251322</v>
      </c>
      <c r="C159">
        <f>Data_inputs!B159*K_factor</f>
        <v>2157.629964246898</v>
      </c>
      <c r="D159">
        <f>Data_inputs!C159*K_factor</f>
        <v>1346.0970568620817</v>
      </c>
      <c r="E159">
        <f t="shared" si="4"/>
        <v>811.53290738481633</v>
      </c>
      <c r="F159">
        <f>Data_inputs!G159-Data_inputs!H159</f>
        <v>336.85988331005865</v>
      </c>
      <c r="G159">
        <f t="shared" si="5"/>
        <v>717.27457559877973</v>
      </c>
    </row>
    <row r="160" spans="1:7" x14ac:dyDescent="0.3">
      <c r="A160">
        <f>Data_inputs!A160</f>
        <v>157</v>
      </c>
      <c r="B160">
        <f>Data_inputs!B160-Data_inputs!C160</f>
        <v>761.07883131796609</v>
      </c>
      <c r="C160">
        <f>Data_inputs!B160*K_factor</f>
        <v>3184.1539564723948</v>
      </c>
      <c r="D160">
        <f>Data_inputs!C160*K_factor</f>
        <v>1563.5914532539869</v>
      </c>
      <c r="E160">
        <f t="shared" si="4"/>
        <v>1620.562503218408</v>
      </c>
      <c r="F160">
        <f>Data_inputs!G160-Data_inputs!H160</f>
        <v>554.27927585845782</v>
      </c>
      <c r="G160">
        <f t="shared" si="5"/>
        <v>1180.2249304605837</v>
      </c>
    </row>
    <row r="161" spans="1:7" x14ac:dyDescent="0.3">
      <c r="A161">
        <f>Data_inputs!A161</f>
        <v>158</v>
      </c>
      <c r="B161">
        <f>Data_inputs!B161-Data_inputs!C161</f>
        <v>612.75209629684059</v>
      </c>
      <c r="C161">
        <f>Data_inputs!B161*K_factor</f>
        <v>2931.3870316333205</v>
      </c>
      <c r="D161">
        <f>Data_inputs!C161*K_factor</f>
        <v>1626.6561283870117</v>
      </c>
      <c r="E161">
        <f t="shared" si="4"/>
        <v>1304.7309032463088</v>
      </c>
      <c r="F161">
        <f>Data_inputs!G161-Data_inputs!H161</f>
        <v>502.02201687876891</v>
      </c>
      <c r="G161">
        <f t="shared" si="5"/>
        <v>1068.953731028055</v>
      </c>
    </row>
    <row r="162" spans="1:7" x14ac:dyDescent="0.3">
      <c r="A162">
        <f>Data_inputs!A162</f>
        <v>159</v>
      </c>
      <c r="B162">
        <f>Data_inputs!B162-Data_inputs!C162</f>
        <v>670.92726843356047</v>
      </c>
      <c r="C162">
        <f>Data_inputs!B162*K_factor</f>
        <v>3005.1558010446392</v>
      </c>
      <c r="D162">
        <f>Data_inputs!C162*K_factor</f>
        <v>1576.5527065040526</v>
      </c>
      <c r="E162">
        <f t="shared" si="4"/>
        <v>1428.6030945405867</v>
      </c>
      <c r="F162">
        <f>Data_inputs!G162-Data_inputs!H162</f>
        <v>130.67990348392914</v>
      </c>
      <c r="G162">
        <f t="shared" si="5"/>
        <v>278.2562630779309</v>
      </c>
    </row>
    <row r="163" spans="1:7" x14ac:dyDescent="0.3">
      <c r="A163">
        <f>Data_inputs!A163</f>
        <v>160</v>
      </c>
      <c r="B163">
        <f>Data_inputs!B163-Data_inputs!C163</f>
        <v>369.1675320938424</v>
      </c>
      <c r="C163">
        <f>Data_inputs!B163*K_factor</f>
        <v>1799.1440592328645</v>
      </c>
      <c r="D163">
        <f>Data_inputs!C163*K_factor</f>
        <v>1013.076919668689</v>
      </c>
      <c r="E163">
        <f t="shared" si="4"/>
        <v>786.06713956417548</v>
      </c>
      <c r="F163">
        <f>Data_inputs!G163-Data_inputs!H163</f>
        <v>269.99852465827189</v>
      </c>
      <c r="G163">
        <f t="shared" si="5"/>
        <v>574.90691762872757</v>
      </c>
    </row>
    <row r="164" spans="1:7" x14ac:dyDescent="0.3">
      <c r="A164">
        <f>Data_inputs!A164</f>
        <v>161</v>
      </c>
      <c r="B164">
        <f>Data_inputs!B164-Data_inputs!C164</f>
        <v>508.91741082187104</v>
      </c>
      <c r="C164">
        <f>Data_inputs!B164*K_factor</f>
        <v>2371.0624068977827</v>
      </c>
      <c r="D164">
        <f>Data_inputs!C164*K_factor</f>
        <v>1287.42633757665</v>
      </c>
      <c r="E164">
        <f t="shared" si="4"/>
        <v>1083.6360693211327</v>
      </c>
      <c r="F164">
        <f>Data_inputs!G164-Data_inputs!H164</f>
        <v>300.05506669677516</v>
      </c>
      <c r="G164">
        <f t="shared" si="5"/>
        <v>638.90620784634825</v>
      </c>
    </row>
    <row r="165" spans="1:7" x14ac:dyDescent="0.3">
      <c r="A165">
        <f>Data_inputs!A165</f>
        <v>162</v>
      </c>
      <c r="B165">
        <f>Data_inputs!B165-Data_inputs!C165</f>
        <v>330.04660773415924</v>
      </c>
      <c r="C165">
        <f>Data_inputs!B165*K_factor</f>
        <v>2365.7975839185356</v>
      </c>
      <c r="D165">
        <f>Data_inputs!C165*K_factor</f>
        <v>1663.0304922597254</v>
      </c>
      <c r="E165">
        <f t="shared" si="4"/>
        <v>702.76709165881016</v>
      </c>
      <c r="F165">
        <f>Data_inputs!G165-Data_inputs!H165</f>
        <v>361.01591460533518</v>
      </c>
      <c r="G165">
        <f t="shared" si="5"/>
        <v>768.70992885371857</v>
      </c>
    </row>
    <row r="166" spans="1:7" x14ac:dyDescent="0.3">
      <c r="A166">
        <f>Data_inputs!A166</f>
        <v>163</v>
      </c>
      <c r="B166">
        <f>Data_inputs!B166-Data_inputs!C166</f>
        <v>-26.483956292947823</v>
      </c>
      <c r="C166">
        <f>Data_inputs!B166*K_factor</f>
        <v>1501.5862972259897</v>
      </c>
      <c r="D166">
        <f>Data_inputs!C166*K_factor</f>
        <v>1557.9784930658127</v>
      </c>
      <c r="E166">
        <f t="shared" si="4"/>
        <v>-56.392195839822989</v>
      </c>
      <c r="F166">
        <f>Data_inputs!G166-Data_inputs!H166</f>
        <v>43.041848645847949</v>
      </c>
      <c r="G166">
        <f t="shared" si="5"/>
        <v>91.648858323746978</v>
      </c>
    </row>
    <row r="167" spans="1:7" x14ac:dyDescent="0.3">
      <c r="A167">
        <f>Data_inputs!A167</f>
        <v>164</v>
      </c>
      <c r="B167">
        <f>Data_inputs!B167-Data_inputs!C167</f>
        <v>837.18450641388313</v>
      </c>
      <c r="C167">
        <f>Data_inputs!B167*K_factor</f>
        <v>3706.7423527249557</v>
      </c>
      <c r="D167">
        <f>Data_inputs!C167*K_factor</f>
        <v>1924.1283007478103</v>
      </c>
      <c r="E167">
        <f t="shared" si="4"/>
        <v>1782.6140519771454</v>
      </c>
      <c r="F167">
        <f>Data_inputs!G167-Data_inputs!H167</f>
        <v>200.7775121473619</v>
      </c>
      <c r="G167">
        <f t="shared" si="5"/>
        <v>427.51485691967417</v>
      </c>
    </row>
    <row r="168" spans="1:7" x14ac:dyDescent="0.3">
      <c r="A168">
        <f>Data_inputs!A168</f>
        <v>165</v>
      </c>
      <c r="B168">
        <f>Data_inputs!B168-Data_inputs!C168</f>
        <v>1384.5269620679901</v>
      </c>
      <c r="C168">
        <f>Data_inputs!B168*K_factor</f>
        <v>5083.5980832169234</v>
      </c>
      <c r="D168">
        <f>Data_inputs!C168*K_factor</f>
        <v>2135.5296478659816</v>
      </c>
      <c r="E168">
        <f t="shared" si="4"/>
        <v>2948.0684353509419</v>
      </c>
      <c r="F168">
        <f>Data_inputs!G168-Data_inputs!H168</f>
        <v>47.698591116271928</v>
      </c>
      <c r="G168">
        <f t="shared" si="5"/>
        <v>101.56444383759624</v>
      </c>
    </row>
    <row r="169" spans="1:7" x14ac:dyDescent="0.3">
      <c r="A169">
        <f>Data_inputs!A169</f>
        <v>166</v>
      </c>
      <c r="B169">
        <f>Data_inputs!B169-Data_inputs!C169</f>
        <v>377.41252707626188</v>
      </c>
      <c r="C169">
        <f>Data_inputs!B169*K_factor</f>
        <v>2175.521473806386</v>
      </c>
      <c r="D169">
        <f>Data_inputs!C169*K_factor</f>
        <v>1371.8982951593805</v>
      </c>
      <c r="E169">
        <f t="shared" si="4"/>
        <v>803.62317864700549</v>
      </c>
      <c r="F169">
        <f>Data_inputs!G169-Data_inputs!H169</f>
        <v>293.304735237768</v>
      </c>
      <c r="G169">
        <f t="shared" si="5"/>
        <v>624.53275059512123</v>
      </c>
    </row>
    <row r="170" spans="1:7" x14ac:dyDescent="0.3">
      <c r="A170">
        <f>Data_inputs!A170</f>
        <v>167</v>
      </c>
      <c r="B170">
        <f>Data_inputs!B170-Data_inputs!C170</f>
        <v>644.70566365384923</v>
      </c>
      <c r="C170">
        <f>Data_inputs!B170*K_factor</f>
        <v>3042.865555712478</v>
      </c>
      <c r="D170">
        <f>Data_inputs!C170*K_factor</f>
        <v>1670.0960328488568</v>
      </c>
      <c r="E170">
        <f t="shared" si="4"/>
        <v>1372.7695228636212</v>
      </c>
      <c r="F170">
        <f>Data_inputs!G170-Data_inputs!H170</f>
        <v>488.6409893265818</v>
      </c>
      <c r="G170">
        <f t="shared" si="5"/>
        <v>1040.461555693136</v>
      </c>
    </row>
    <row r="171" spans="1:7" x14ac:dyDescent="0.3">
      <c r="A171">
        <f>Data_inputs!A171</f>
        <v>168</v>
      </c>
      <c r="B171">
        <f>Data_inputs!B171-Data_inputs!C171</f>
        <v>371.40589680358028</v>
      </c>
      <c r="C171">
        <f>Data_inputs!B171*K_factor</f>
        <v>2027.2563791919067</v>
      </c>
      <c r="D171">
        <f>Data_inputs!C171*K_factor</f>
        <v>1236.4230974518323</v>
      </c>
      <c r="E171">
        <f t="shared" si="4"/>
        <v>790.83328174007443</v>
      </c>
      <c r="F171">
        <f>Data_inputs!G171-Data_inputs!H171</f>
        <v>313.64771957552512</v>
      </c>
      <c r="G171">
        <f t="shared" si="5"/>
        <v>667.84899625161813</v>
      </c>
    </row>
    <row r="172" spans="1:7" x14ac:dyDescent="0.3">
      <c r="A172">
        <f>Data_inputs!A172</f>
        <v>169</v>
      </c>
      <c r="B172">
        <f>Data_inputs!B172-Data_inputs!C172</f>
        <v>263.21009252197058</v>
      </c>
      <c r="C172">
        <f>Data_inputs!B172*K_factor</f>
        <v>1644.2372558802858</v>
      </c>
      <c r="D172">
        <f>Data_inputs!C172*K_factor</f>
        <v>1083.7849231421696</v>
      </c>
      <c r="E172">
        <f t="shared" si="4"/>
        <v>560.45233273811618</v>
      </c>
      <c r="F172">
        <f>Data_inputs!G172-Data_inputs!H172</f>
        <v>255.85916194543802</v>
      </c>
      <c r="G172">
        <f t="shared" si="5"/>
        <v>544.80002187898867</v>
      </c>
    </row>
    <row r="173" spans="1:7" x14ac:dyDescent="0.3">
      <c r="A173">
        <f>Data_inputs!A173</f>
        <v>170</v>
      </c>
      <c r="B173">
        <f>Data_inputs!B173-Data_inputs!C173</f>
        <v>373.9580944145431</v>
      </c>
      <c r="C173">
        <f>Data_inputs!B173*K_factor</f>
        <v>2123.0720962739356</v>
      </c>
      <c r="D173">
        <f>Data_inputs!C173*K_factor</f>
        <v>1326.8044290550692</v>
      </c>
      <c r="E173">
        <f t="shared" si="4"/>
        <v>796.26766721886634</v>
      </c>
      <c r="F173">
        <f>Data_inputs!G173-Data_inputs!H173</f>
        <v>216.04049929442817</v>
      </c>
      <c r="G173">
        <f t="shared" si="5"/>
        <v>460.01428226147084</v>
      </c>
    </row>
    <row r="174" spans="1:7" x14ac:dyDescent="0.3">
      <c r="A174">
        <f>Data_inputs!A174</f>
        <v>171</v>
      </c>
      <c r="B174">
        <f>Data_inputs!B174-Data_inputs!C174</f>
        <v>379.40200160010647</v>
      </c>
      <c r="C174">
        <f>Data_inputs!B174*K_factor</f>
        <v>2100.6101541537855</v>
      </c>
      <c r="D174">
        <f>Data_inputs!C174*K_factor</f>
        <v>1292.7507943363385</v>
      </c>
      <c r="E174">
        <f t="shared" si="4"/>
        <v>807.85935981744706</v>
      </c>
      <c r="F174">
        <f>Data_inputs!G174-Data_inputs!H174</f>
        <v>247.28957718796528</v>
      </c>
      <c r="G174">
        <f t="shared" si="5"/>
        <v>526.5528349193105</v>
      </c>
    </row>
    <row r="175" spans="1:7" x14ac:dyDescent="0.3">
      <c r="A175">
        <f>Data_inputs!A175</f>
        <v>172</v>
      </c>
      <c r="B175">
        <f>Data_inputs!B175-Data_inputs!C175</f>
        <v>1190.6344263839674</v>
      </c>
      <c r="C175">
        <f>Data_inputs!B175*K_factor</f>
        <v>4446.2213437480486</v>
      </c>
      <c r="D175">
        <f>Data_inputs!C175*K_factor</f>
        <v>1911.0076089270581</v>
      </c>
      <c r="E175">
        <f t="shared" si="4"/>
        <v>2535.2137348209908</v>
      </c>
      <c r="F175">
        <f>Data_inputs!G175-Data_inputs!H175</f>
        <v>123.59884628035684</v>
      </c>
      <c r="G175">
        <f t="shared" si="5"/>
        <v>263.17859265135758</v>
      </c>
    </row>
    <row r="176" spans="1:7" x14ac:dyDescent="0.3">
      <c r="A176">
        <f>Data_inputs!A176</f>
        <v>173</v>
      </c>
      <c r="B176">
        <f>Data_inputs!B176-Data_inputs!C176</f>
        <v>373.1866759717883</v>
      </c>
      <c r="C176">
        <f>Data_inputs!B176*K_factor</f>
        <v>1945.9249566865963</v>
      </c>
      <c r="D176">
        <f>Data_inputs!C176*K_factor</f>
        <v>1151.2998680695484</v>
      </c>
      <c r="E176">
        <f t="shared" si="4"/>
        <v>794.62508861704782</v>
      </c>
      <c r="F176">
        <f>Data_inputs!G176-Data_inputs!H176</f>
        <v>340.52854817071102</v>
      </c>
      <c r="G176">
        <f t="shared" si="5"/>
        <v>725.08625090152429</v>
      </c>
    </row>
    <row r="177" spans="1:7" x14ac:dyDescent="0.3">
      <c r="A177">
        <f>Data_inputs!A177</f>
        <v>174</v>
      </c>
      <c r="B177">
        <f>Data_inputs!B177-Data_inputs!C177</f>
        <v>1131.0269973836528</v>
      </c>
      <c r="C177">
        <f>Data_inputs!B177*K_factor</f>
        <v>4007.0529609538376</v>
      </c>
      <c r="D177">
        <f>Data_inputs!C177*K_factor</f>
        <v>1598.7611169754614</v>
      </c>
      <c r="E177">
        <f t="shared" si="4"/>
        <v>2408.2918439783762</v>
      </c>
      <c r="F177">
        <f>Data_inputs!G177-Data_inputs!H177</f>
        <v>35.853621701567135</v>
      </c>
      <c r="G177">
        <f t="shared" si="5"/>
        <v>76.342991741762148</v>
      </c>
    </row>
    <row r="178" spans="1:7" x14ac:dyDescent="0.3">
      <c r="A178">
        <f>Data_inputs!A178</f>
        <v>175</v>
      </c>
      <c r="B178">
        <f>Data_inputs!B178-Data_inputs!C178</f>
        <v>239.93387109261687</v>
      </c>
      <c r="C178">
        <f>Data_inputs!B178*K_factor</f>
        <v>1768.8272125988226</v>
      </c>
      <c r="D178">
        <f>Data_inputs!C178*K_factor</f>
        <v>1257.9368570342119</v>
      </c>
      <c r="E178">
        <f t="shared" si="4"/>
        <v>510.89035556461067</v>
      </c>
      <c r="F178">
        <f>Data_inputs!G178-Data_inputs!H178</f>
        <v>176.26712386605891</v>
      </c>
      <c r="G178">
        <f t="shared" si="5"/>
        <v>375.32497256929878</v>
      </c>
    </row>
    <row r="179" spans="1:7" x14ac:dyDescent="0.3">
      <c r="A179">
        <f>Data_inputs!A179</f>
        <v>176</v>
      </c>
      <c r="B179">
        <f>Data_inputs!B179-Data_inputs!C179</f>
        <v>499.75377535399889</v>
      </c>
      <c r="C179">
        <f>Data_inputs!B179*K_factor</f>
        <v>1933.1184472867797</v>
      </c>
      <c r="D179">
        <f>Data_inputs!C179*K_factor</f>
        <v>868.99447503275303</v>
      </c>
      <c r="E179">
        <f t="shared" si="4"/>
        <v>1064.1239722540267</v>
      </c>
      <c r="F179">
        <f>Data_inputs!G179-Data_inputs!H179</f>
        <v>339.50066044329606</v>
      </c>
      <c r="G179">
        <f t="shared" si="5"/>
        <v>722.89757314565702</v>
      </c>
    </row>
    <row r="180" spans="1:7" x14ac:dyDescent="0.3">
      <c r="A180">
        <f>Data_inputs!A180</f>
        <v>177</v>
      </c>
      <c r="B180">
        <f>Data_inputs!B180-Data_inputs!C180</f>
        <v>133.49477077816147</v>
      </c>
      <c r="C180">
        <f>Data_inputs!B180*K_factor</f>
        <v>1122.6696437320354</v>
      </c>
      <c r="D180">
        <f>Data_inputs!C180*K_factor</f>
        <v>838.41969353411298</v>
      </c>
      <c r="E180">
        <f t="shared" si="4"/>
        <v>284.24995019792243</v>
      </c>
      <c r="F180">
        <f>Data_inputs!G180-Data_inputs!H180</f>
        <v>181.11652706700102</v>
      </c>
      <c r="G180">
        <f t="shared" si="5"/>
        <v>385.65078990523102</v>
      </c>
    </row>
    <row r="181" spans="1:7" x14ac:dyDescent="0.3">
      <c r="A181">
        <f>Data_inputs!A181</f>
        <v>178</v>
      </c>
      <c r="B181">
        <f>Data_inputs!B181-Data_inputs!C181</f>
        <v>667.02896806336878</v>
      </c>
      <c r="C181">
        <f>Data_inputs!B181*K_factor</f>
        <v>2976.3851747944741</v>
      </c>
      <c r="D181">
        <f>Data_inputs!C181*K_factor</f>
        <v>1556.0827176468301</v>
      </c>
      <c r="E181">
        <f t="shared" si="4"/>
        <v>1420.302457147644</v>
      </c>
      <c r="F181">
        <f>Data_inputs!G181-Data_inputs!H181</f>
        <v>301.7138599521968</v>
      </c>
      <c r="G181">
        <f t="shared" si="5"/>
        <v>642.43827054433814</v>
      </c>
    </row>
    <row r="182" spans="1:7" x14ac:dyDescent="0.3">
      <c r="A182">
        <f>Data_inputs!A182</f>
        <v>179</v>
      </c>
      <c r="B182">
        <f>Data_inputs!B182-Data_inputs!C182</f>
        <v>396.3005555327353</v>
      </c>
      <c r="C182">
        <f>Data_inputs!B182*K_factor</f>
        <v>2524.4398217087605</v>
      </c>
      <c r="D182">
        <f>Data_inputs!C182*K_factor</f>
        <v>1680.5984298928549</v>
      </c>
      <c r="E182">
        <f t="shared" si="4"/>
        <v>843.84139181590558</v>
      </c>
      <c r="F182">
        <f>Data_inputs!G182-Data_inputs!H182</f>
        <v>302.01078131115219</v>
      </c>
      <c r="G182">
        <f t="shared" si="5"/>
        <v>643.07050415921151</v>
      </c>
    </row>
    <row r="183" spans="1:7" x14ac:dyDescent="0.3">
      <c r="A183">
        <f>Data_inputs!A183</f>
        <v>180</v>
      </c>
      <c r="B183">
        <f>Data_inputs!B183-Data_inputs!C183</f>
        <v>446.06190613918193</v>
      </c>
      <c r="C183">
        <f>Data_inputs!B183*K_factor</f>
        <v>2220.9300423528812</v>
      </c>
      <c r="D183">
        <f>Data_inputs!C183*K_factor</f>
        <v>1271.1319801055242</v>
      </c>
      <c r="E183">
        <f t="shared" si="4"/>
        <v>949.79806224735694</v>
      </c>
      <c r="F183">
        <f>Data_inputs!G183-Data_inputs!H183</f>
        <v>367.72086355135298</v>
      </c>
      <c r="G183">
        <f t="shared" si="5"/>
        <v>782.98675327819228</v>
      </c>
    </row>
    <row r="184" spans="1:7" x14ac:dyDescent="0.3">
      <c r="A184">
        <f>Data_inputs!A184</f>
        <v>181</v>
      </c>
      <c r="B184">
        <f>Data_inputs!B184-Data_inputs!C184</f>
        <v>699.20312140820283</v>
      </c>
      <c r="C184">
        <f>Data_inputs!B184*K_factor</f>
        <v>3271.2324250369811</v>
      </c>
      <c r="D184">
        <f>Data_inputs!C184*K_factor</f>
        <v>1782.4216552968749</v>
      </c>
      <c r="E184">
        <f t="shared" si="4"/>
        <v>1488.8107697401063</v>
      </c>
      <c r="F184">
        <f>Data_inputs!G184-Data_inputs!H184</f>
        <v>24.515877737239862</v>
      </c>
      <c r="G184">
        <f t="shared" si="5"/>
        <v>52.201573029771389</v>
      </c>
    </row>
    <row r="185" spans="1:7" x14ac:dyDescent="0.3">
      <c r="A185">
        <f>Data_inputs!A185</f>
        <v>182</v>
      </c>
      <c r="B185">
        <f>Data_inputs!B185-Data_inputs!C185</f>
        <v>288.96597212284155</v>
      </c>
      <c r="C185">
        <f>Data_inputs!B185*K_factor</f>
        <v>1933.3709870313357</v>
      </c>
      <c r="D185">
        <f>Data_inputs!C185*K_factor</f>
        <v>1318.0767496165388</v>
      </c>
      <c r="E185">
        <f t="shared" si="4"/>
        <v>615.29423741479695</v>
      </c>
      <c r="F185">
        <f>Data_inputs!G185-Data_inputs!H185</f>
        <v>201.34112038180501</v>
      </c>
      <c r="G185">
        <f t="shared" si="5"/>
        <v>428.71494596913828</v>
      </c>
    </row>
    <row r="186" spans="1:7" x14ac:dyDescent="0.3">
      <c r="A186">
        <f>Data_inputs!A186</f>
        <v>183</v>
      </c>
      <c r="B186">
        <f>Data_inputs!B186-Data_inputs!C186</f>
        <v>1563.341481425246</v>
      </c>
      <c r="C186">
        <f>Data_inputs!B186*K_factor</f>
        <v>6439.3821780970848</v>
      </c>
      <c r="D186">
        <f>Data_inputs!C186*K_factor</f>
        <v>3110.5646098349353</v>
      </c>
      <c r="E186">
        <f t="shared" si="4"/>
        <v>3328.8175682621495</v>
      </c>
      <c r="F186">
        <f>Data_inputs!G186-Data_inputs!H186</f>
        <v>598.91112468295887</v>
      </c>
      <c r="G186">
        <f t="shared" si="5"/>
        <v>1275.2593706236964</v>
      </c>
    </row>
    <row r="187" spans="1:7" x14ac:dyDescent="0.3">
      <c r="A187">
        <f>Data_inputs!A187</f>
        <v>184</v>
      </c>
      <c r="B187">
        <f>Data_inputs!B187-Data_inputs!C187</f>
        <v>371.32876379331196</v>
      </c>
      <c r="C187">
        <f>Data_inputs!B187*K_factor</f>
        <v>2159.5313129527694</v>
      </c>
      <c r="D187">
        <f>Data_inputs!C187*K_factor</f>
        <v>1368.8622702626562</v>
      </c>
      <c r="E187">
        <f t="shared" si="4"/>
        <v>790.6690426901132</v>
      </c>
      <c r="F187">
        <f>Data_inputs!G187-Data_inputs!H187</f>
        <v>319.22060486231612</v>
      </c>
      <c r="G187">
        <f t="shared" si="5"/>
        <v>679.71532147166351</v>
      </c>
    </row>
    <row r="188" spans="1:7" x14ac:dyDescent="0.3">
      <c r="A188">
        <f>Data_inputs!A188</f>
        <v>185</v>
      </c>
      <c r="B188">
        <f>Data_inputs!B188-Data_inputs!C188</f>
        <v>365.35136281043992</v>
      </c>
      <c r="C188">
        <f>Data_inputs!B188*K_factor</f>
        <v>2573.0960704206382</v>
      </c>
      <c r="D188">
        <f>Data_inputs!C188*K_factor</f>
        <v>1795.1546868125261</v>
      </c>
      <c r="E188">
        <f t="shared" si="4"/>
        <v>777.94138360811212</v>
      </c>
      <c r="F188">
        <f>Data_inputs!G188-Data_inputs!H188</f>
        <v>213.10007059181089</v>
      </c>
      <c r="G188">
        <f t="shared" si="5"/>
        <v>453.75323767217793</v>
      </c>
    </row>
    <row r="189" spans="1:7" x14ac:dyDescent="0.3">
      <c r="A189">
        <f>Data_inputs!A189</f>
        <v>186</v>
      </c>
      <c r="B189">
        <f>Data_inputs!B189-Data_inputs!C189</f>
        <v>1516.2678101294841</v>
      </c>
      <c r="C189">
        <f>Data_inputs!B189*K_factor</f>
        <v>5067.2728194675419</v>
      </c>
      <c r="D189">
        <f>Data_inputs!C189*K_factor</f>
        <v>1838.6890554469783</v>
      </c>
      <c r="E189">
        <f t="shared" si="4"/>
        <v>3228.5837640205636</v>
      </c>
      <c r="F189">
        <f>Data_inputs!G189-Data_inputs!H189</f>
        <v>68.74596495924493</v>
      </c>
      <c r="G189">
        <f t="shared" si="5"/>
        <v>146.38054361280069</v>
      </c>
    </row>
    <row r="190" spans="1:7" x14ac:dyDescent="0.3">
      <c r="A190">
        <f>Data_inputs!A190</f>
        <v>187</v>
      </c>
      <c r="B190">
        <f>Data_inputs!B190-Data_inputs!C190</f>
        <v>368.80497548805238</v>
      </c>
      <c r="C190">
        <f>Data_inputs!B190*K_factor</f>
        <v>2071.9189580187112</v>
      </c>
      <c r="D190">
        <f>Data_inputs!C190*K_factor</f>
        <v>1286.6238089717599</v>
      </c>
      <c r="E190">
        <f t="shared" si="4"/>
        <v>785.29514904695134</v>
      </c>
      <c r="F190">
        <f>Data_inputs!G190-Data_inputs!H190</f>
        <v>220.43874641344405</v>
      </c>
      <c r="G190">
        <f t="shared" si="5"/>
        <v>469.37945452440522</v>
      </c>
    </row>
    <row r="191" spans="1:7" x14ac:dyDescent="0.3">
      <c r="A191">
        <f>Data_inputs!A191</f>
        <v>188</v>
      </c>
      <c r="B191">
        <f>Data_inputs!B191-Data_inputs!C191</f>
        <v>308.9397621500749</v>
      </c>
      <c r="C191">
        <f>Data_inputs!B191*K_factor</f>
        <v>1856.2349461960971</v>
      </c>
      <c r="D191">
        <f>Data_inputs!C191*K_factor</f>
        <v>1198.4105872835851</v>
      </c>
      <c r="E191">
        <f t="shared" si="4"/>
        <v>657.82435891251203</v>
      </c>
      <c r="F191">
        <f>Data_inputs!G191-Data_inputs!H191</f>
        <v>278.92115590604908</v>
      </c>
      <c r="G191">
        <f t="shared" si="5"/>
        <v>593.90584524986843</v>
      </c>
    </row>
    <row r="192" spans="1:7" x14ac:dyDescent="0.3">
      <c r="A192">
        <f>Data_inputs!A192</f>
        <v>189</v>
      </c>
      <c r="B192">
        <f>Data_inputs!B192-Data_inputs!C192</f>
        <v>761.90404537652785</v>
      </c>
      <c r="C192">
        <f>Data_inputs!B192*K_factor</f>
        <v>3058.0908738495004</v>
      </c>
      <c r="D192">
        <f>Data_inputs!C192*K_factor</f>
        <v>1435.7712452120109</v>
      </c>
      <c r="E192">
        <f t="shared" si="4"/>
        <v>1622.3196286374896</v>
      </c>
      <c r="F192">
        <f>Data_inputs!G192-Data_inputs!H192</f>
        <v>616.56134284336395</v>
      </c>
      <c r="G192">
        <f t="shared" si="5"/>
        <v>1312.8419186428609</v>
      </c>
    </row>
    <row r="193" spans="1:7" x14ac:dyDescent="0.3">
      <c r="A193">
        <f>Data_inputs!A193</f>
        <v>190</v>
      </c>
      <c r="B193">
        <f>Data_inputs!B193-Data_inputs!C193</f>
        <v>677.80748654855586</v>
      </c>
      <c r="C193">
        <f>Data_inputs!B193*K_factor</f>
        <v>3397.6466735805516</v>
      </c>
      <c r="D193">
        <f>Data_inputs!C193*K_factor</f>
        <v>1954.3935545847883</v>
      </c>
      <c r="E193">
        <f t="shared" si="4"/>
        <v>1443.2531189957633</v>
      </c>
      <c r="F193">
        <f>Data_inputs!G193-Data_inputs!H193</f>
        <v>-42.632042286714068</v>
      </c>
      <c r="G193">
        <f t="shared" si="5"/>
        <v>-90.77625907138993</v>
      </c>
    </row>
    <row r="194" spans="1:7" x14ac:dyDescent="0.3">
      <c r="A194">
        <f>Data_inputs!A194</f>
        <v>191</v>
      </c>
      <c r="B194">
        <f>Data_inputs!B194-Data_inputs!C194</f>
        <v>956.4446074852616</v>
      </c>
      <c r="C194">
        <f>Data_inputs!B194*K_factor</f>
        <v>4109.5125530848572</v>
      </c>
      <c r="D194">
        <f>Data_inputs!C194*K_factor</f>
        <v>2072.9583835096055</v>
      </c>
      <c r="E194">
        <f t="shared" si="4"/>
        <v>2036.5541695752518</v>
      </c>
      <c r="F194">
        <f>Data_inputs!G194-Data_inputs!H194</f>
        <v>72.493706082095969</v>
      </c>
      <c r="G194">
        <f t="shared" si="5"/>
        <v>154.36059572506954</v>
      </c>
    </row>
    <row r="195" spans="1:7" x14ac:dyDescent="0.3">
      <c r="A195">
        <f>Data_inputs!A195</f>
        <v>192</v>
      </c>
      <c r="B195">
        <f>Data_inputs!B195-Data_inputs!C195</f>
        <v>237.82388219428685</v>
      </c>
      <c r="C195">
        <f>Data_inputs!B195*K_factor</f>
        <v>3485.9226781607617</v>
      </c>
      <c r="D195">
        <f>Data_inputs!C195*K_factor</f>
        <v>2979.5251146042006</v>
      </c>
      <c r="E195">
        <f t="shared" si="4"/>
        <v>506.39756355656118</v>
      </c>
      <c r="F195">
        <f>Data_inputs!G195-Data_inputs!H195</f>
        <v>110.63384501014207</v>
      </c>
      <c r="G195">
        <f t="shared" si="5"/>
        <v>235.57226062881941</v>
      </c>
    </row>
    <row r="196" spans="1:7" x14ac:dyDescent="0.3">
      <c r="A196">
        <f>Data_inputs!A196</f>
        <v>193</v>
      </c>
      <c r="B196">
        <f>Data_inputs!B196-Data_inputs!C196</f>
        <v>412.45722975238516</v>
      </c>
      <c r="C196">
        <f>Data_inputs!B196*K_factor</f>
        <v>2149.3274465265481</v>
      </c>
      <c r="D196">
        <f>Data_inputs!C196*K_factor</f>
        <v>1271.0837045996311</v>
      </c>
      <c r="E196">
        <f t="shared" ref="E196:E259" si="6">C196-D196</f>
        <v>878.24374192691698</v>
      </c>
      <c r="F196">
        <f>Data_inputs!G196-Data_inputs!H196</f>
        <v>358.256544129237</v>
      </c>
      <c r="G196">
        <f t="shared" ref="G196:G259" si="7">F196*K_factor</f>
        <v>762.83441091517739</v>
      </c>
    </row>
    <row r="197" spans="1:7" x14ac:dyDescent="0.3">
      <c r="A197">
        <f>Data_inputs!A197</f>
        <v>194</v>
      </c>
      <c r="B197">
        <f>Data_inputs!B197-Data_inputs!C197</f>
        <v>510.18129822382775</v>
      </c>
      <c r="C197">
        <f>Data_inputs!B197*K_factor</f>
        <v>2076.2221416067059</v>
      </c>
      <c r="D197">
        <f>Data_inputs!C197*K_factor</f>
        <v>989.89488124514673</v>
      </c>
      <c r="E197">
        <f t="shared" si="6"/>
        <v>1086.3272603615592</v>
      </c>
      <c r="F197">
        <f>Data_inputs!G197-Data_inputs!H197</f>
        <v>256.21248031692812</v>
      </c>
      <c r="G197">
        <f t="shared" si="7"/>
        <v>545.55234145611257</v>
      </c>
    </row>
    <row r="198" spans="1:7" x14ac:dyDescent="0.3">
      <c r="A198">
        <f>Data_inputs!A198</f>
        <v>195</v>
      </c>
      <c r="B198">
        <f>Data_inputs!B198-Data_inputs!C198</f>
        <v>821.42201373045168</v>
      </c>
      <c r="C198">
        <f>Data_inputs!B198*K_factor</f>
        <v>3706.3073969946713</v>
      </c>
      <c r="D198">
        <f>Data_inputs!C198*K_factor</f>
        <v>1957.2563657571632</v>
      </c>
      <c r="E198">
        <f t="shared" si="6"/>
        <v>1749.0510312375081</v>
      </c>
      <c r="F198">
        <f>Data_inputs!G198-Data_inputs!H198</f>
        <v>729.24037668279061</v>
      </c>
      <c r="G198">
        <f t="shared" si="7"/>
        <v>1552.7689927185347</v>
      </c>
    </row>
    <row r="199" spans="1:7" x14ac:dyDescent="0.3">
      <c r="A199">
        <f>Data_inputs!A199</f>
        <v>196</v>
      </c>
      <c r="B199">
        <f>Data_inputs!B199-Data_inputs!C199</f>
        <v>243.33825439796465</v>
      </c>
      <c r="C199">
        <f>Data_inputs!B199*K_factor</f>
        <v>1539.6677406327622</v>
      </c>
      <c r="D199">
        <f>Data_inputs!C199*K_factor</f>
        <v>1021.5284435601143</v>
      </c>
      <c r="E199">
        <f t="shared" si="6"/>
        <v>518.13929707264788</v>
      </c>
      <c r="F199">
        <f>Data_inputs!G199-Data_inputs!H199</f>
        <v>180.57430382029406</v>
      </c>
      <c r="G199">
        <f t="shared" si="7"/>
        <v>384.49623583562828</v>
      </c>
    </row>
    <row r="200" spans="1:7" x14ac:dyDescent="0.3">
      <c r="A200">
        <f>Data_inputs!A200</f>
        <v>197</v>
      </c>
      <c r="B200">
        <f>Data_inputs!B200-Data_inputs!C200</f>
        <v>495.20160317937746</v>
      </c>
      <c r="C200">
        <f>Data_inputs!B200*K_factor</f>
        <v>2439.3218328548546</v>
      </c>
      <c r="D200">
        <f>Data_inputs!C200*K_factor</f>
        <v>1384.8907849482453</v>
      </c>
      <c r="E200">
        <f t="shared" si="6"/>
        <v>1054.4310479066094</v>
      </c>
      <c r="F200">
        <f>Data_inputs!G200-Data_inputs!H200</f>
        <v>302.78596457610001</v>
      </c>
      <c r="G200">
        <f t="shared" si="7"/>
        <v>644.72109918380499</v>
      </c>
    </row>
    <row r="201" spans="1:7" x14ac:dyDescent="0.3">
      <c r="A201">
        <f>Data_inputs!A201</f>
        <v>198</v>
      </c>
      <c r="B201">
        <f>Data_inputs!B201-Data_inputs!C201</f>
        <v>249.02368423007078</v>
      </c>
      <c r="C201">
        <f>Data_inputs!B201*K_factor</f>
        <v>1354.5001431530495</v>
      </c>
      <c r="D201">
        <f>Data_inputs!C201*K_factor</f>
        <v>824.25488015222663</v>
      </c>
      <c r="E201">
        <f t="shared" si="6"/>
        <v>530.24526300082289</v>
      </c>
      <c r="F201">
        <f>Data_inputs!G201-Data_inputs!H201</f>
        <v>161.35058194669</v>
      </c>
      <c r="G201">
        <f t="shared" si="7"/>
        <v>343.56323184350049</v>
      </c>
    </row>
    <row r="202" spans="1:7" x14ac:dyDescent="0.3">
      <c r="A202">
        <f>Data_inputs!A202</f>
        <v>199</v>
      </c>
      <c r="B202">
        <f>Data_inputs!B202-Data_inputs!C202</f>
        <v>446.996426533781</v>
      </c>
      <c r="C202">
        <f>Data_inputs!B202*K_factor</f>
        <v>2651.4320525134503</v>
      </c>
      <c r="D202">
        <f>Data_inputs!C202*K_factor</f>
        <v>1699.6441192466125</v>
      </c>
      <c r="E202">
        <f t="shared" si="6"/>
        <v>951.78793326683785</v>
      </c>
      <c r="F202">
        <f>Data_inputs!G202-Data_inputs!H202</f>
        <v>449.61375552222989</v>
      </c>
      <c r="G202">
        <f t="shared" si="7"/>
        <v>957.36100276073216</v>
      </c>
    </row>
    <row r="203" spans="1:7" x14ac:dyDescent="0.3">
      <c r="A203">
        <f>Data_inputs!A203</f>
        <v>200</v>
      </c>
      <c r="B203">
        <f>Data_inputs!B203-Data_inputs!C203</f>
        <v>440.14146608341923</v>
      </c>
      <c r="C203">
        <f>Data_inputs!B203*K_factor</f>
        <v>2574.4972250269116</v>
      </c>
      <c r="D203">
        <f>Data_inputs!C203*K_factor</f>
        <v>1637.3055351579671</v>
      </c>
      <c r="E203">
        <f t="shared" si="6"/>
        <v>937.19168986894442</v>
      </c>
      <c r="F203">
        <f>Data_inputs!G203-Data_inputs!H203</f>
        <v>541.4365261014309</v>
      </c>
      <c r="G203">
        <f t="shared" si="7"/>
        <v>1152.8789081590385</v>
      </c>
    </row>
    <row r="204" spans="1:7" x14ac:dyDescent="0.3">
      <c r="A204">
        <f>Data_inputs!A204</f>
        <v>201</v>
      </c>
      <c r="B204">
        <f>Data_inputs!B204-Data_inputs!C204</f>
        <v>366.54545835777742</v>
      </c>
      <c r="C204">
        <f>Data_inputs!B204*K_factor</f>
        <v>2118.4776322759853</v>
      </c>
      <c r="D204">
        <f>Data_inputs!C204*K_factor</f>
        <v>1337.993665180268</v>
      </c>
      <c r="E204">
        <f t="shared" si="6"/>
        <v>780.48396709571739</v>
      </c>
      <c r="F204">
        <f>Data_inputs!G204-Data_inputs!H204</f>
        <v>234.2090249216169</v>
      </c>
      <c r="G204">
        <f t="shared" si="7"/>
        <v>498.7004605633922</v>
      </c>
    </row>
    <row r="205" spans="1:7" x14ac:dyDescent="0.3">
      <c r="A205">
        <f>Data_inputs!A205</f>
        <v>202</v>
      </c>
      <c r="B205">
        <f>Data_inputs!B205-Data_inputs!C205</f>
        <v>189.90788607098443</v>
      </c>
      <c r="C205">
        <f>Data_inputs!B205*K_factor</f>
        <v>1732.8693271508801</v>
      </c>
      <c r="D205">
        <f>Data_inputs!C205*K_factor</f>
        <v>1328.4991271557435</v>
      </c>
      <c r="E205">
        <f t="shared" si="6"/>
        <v>404.37019999513655</v>
      </c>
      <c r="F205">
        <f>Data_inputs!G205-Data_inputs!H205</f>
        <v>148.38084823564395</v>
      </c>
      <c r="G205">
        <f t="shared" si="7"/>
        <v>315.94682305119255</v>
      </c>
    </row>
    <row r="206" spans="1:7" x14ac:dyDescent="0.3">
      <c r="A206">
        <f>Data_inputs!A206</f>
        <v>203</v>
      </c>
      <c r="B206">
        <f>Data_inputs!B206-Data_inputs!C206</f>
        <v>322.45492794846348</v>
      </c>
      <c r="C206">
        <f>Data_inputs!B206*K_factor</f>
        <v>2418.7162352392675</v>
      </c>
      <c r="D206">
        <f>Data_inputs!C206*K_factor</f>
        <v>1732.1140808916621</v>
      </c>
      <c r="E206">
        <f t="shared" si="6"/>
        <v>686.60215434760539</v>
      </c>
      <c r="F206">
        <f>Data_inputs!G206-Data_inputs!H206</f>
        <v>259.37254522577223</v>
      </c>
      <c r="G206">
        <f t="shared" si="7"/>
        <v>552.28105665390729</v>
      </c>
    </row>
    <row r="207" spans="1:7" x14ac:dyDescent="0.3">
      <c r="A207">
        <f>Data_inputs!A207</f>
        <v>204</v>
      </c>
      <c r="B207">
        <f>Data_inputs!B207-Data_inputs!C207</f>
        <v>1011.677890960587</v>
      </c>
      <c r="C207">
        <f>Data_inputs!B207*K_factor</f>
        <v>4140.0721028579992</v>
      </c>
      <c r="D207">
        <f>Data_inputs!C207*K_factor</f>
        <v>1985.9098952628992</v>
      </c>
      <c r="E207">
        <f t="shared" si="6"/>
        <v>2154.1622075951</v>
      </c>
      <c r="F207">
        <f>Data_inputs!G207-Data_inputs!H207</f>
        <v>-40.261813722243005</v>
      </c>
      <c r="G207">
        <f t="shared" si="7"/>
        <v>-85.729339649143839</v>
      </c>
    </row>
    <row r="208" spans="1:7" x14ac:dyDescent="0.3">
      <c r="A208">
        <f>Data_inputs!A208</f>
        <v>205</v>
      </c>
      <c r="B208">
        <f>Data_inputs!B208-Data_inputs!C208</f>
        <v>335.17273749170511</v>
      </c>
      <c r="C208">
        <f>Data_inputs!B208*K_factor</f>
        <v>1845.9029516816872</v>
      </c>
      <c r="D208">
        <f>Data_inputs!C208*K_factor</f>
        <v>1132.2208097943414</v>
      </c>
      <c r="E208">
        <f t="shared" si="6"/>
        <v>713.68214188734578</v>
      </c>
      <c r="F208">
        <f>Data_inputs!G208-Data_inputs!H208</f>
        <v>252.38921238058811</v>
      </c>
      <c r="G208">
        <f t="shared" si="7"/>
        <v>537.41147036308735</v>
      </c>
    </row>
    <row r="209" spans="1:7" x14ac:dyDescent="0.3">
      <c r="A209">
        <f>Data_inputs!A209</f>
        <v>206</v>
      </c>
      <c r="B209">
        <f>Data_inputs!B209-Data_inputs!C209</f>
        <v>-46.762482822239804</v>
      </c>
      <c r="C209">
        <f>Data_inputs!B209*K_factor</f>
        <v>1739.6766403227136</v>
      </c>
      <c r="D209">
        <f>Data_inputs!C209*K_factor</f>
        <v>1839.2478320320997</v>
      </c>
      <c r="E209">
        <f t="shared" si="6"/>
        <v>-99.571191709386085</v>
      </c>
      <c r="F209">
        <f>Data_inputs!G209-Data_inputs!H209</f>
        <v>155.03505383146512</v>
      </c>
      <c r="G209">
        <f t="shared" si="7"/>
        <v>330.11559983692962</v>
      </c>
    </row>
    <row r="210" spans="1:7" x14ac:dyDescent="0.3">
      <c r="A210">
        <f>Data_inputs!A210</f>
        <v>207</v>
      </c>
      <c r="B210">
        <f>Data_inputs!B210-Data_inputs!C210</f>
        <v>583.31303077201244</v>
      </c>
      <c r="C210">
        <f>Data_inputs!B210*K_factor</f>
        <v>2919.5973600828129</v>
      </c>
      <c r="D210">
        <f>Data_inputs!C210*K_factor</f>
        <v>1677.5509564654194</v>
      </c>
      <c r="E210">
        <f t="shared" si="6"/>
        <v>1242.0464036173935</v>
      </c>
      <c r="F210">
        <f>Data_inputs!G210-Data_inputs!H210</f>
        <v>358.79785558994308</v>
      </c>
      <c r="G210">
        <f t="shared" si="7"/>
        <v>763.98702352202599</v>
      </c>
    </row>
    <row r="211" spans="1:7" x14ac:dyDescent="0.3">
      <c r="A211">
        <f>Data_inputs!A211</f>
        <v>208</v>
      </c>
      <c r="B211">
        <f>Data_inputs!B211-Data_inputs!C211</f>
        <v>167.74619010653686</v>
      </c>
      <c r="C211">
        <f>Data_inputs!B211*K_factor</f>
        <v>1238.0292293264897</v>
      </c>
      <c r="D211">
        <f>Data_inputs!C211*K_factor</f>
        <v>880.84785131647811</v>
      </c>
      <c r="E211">
        <f t="shared" si="6"/>
        <v>357.1813780100116</v>
      </c>
      <c r="F211">
        <f>Data_inputs!G211-Data_inputs!H211</f>
        <v>81.333067194089494</v>
      </c>
      <c r="G211">
        <f t="shared" si="7"/>
        <v>173.182216536277</v>
      </c>
    </row>
    <row r="212" spans="1:7" x14ac:dyDescent="0.3">
      <c r="A212">
        <f>Data_inputs!A212</f>
        <v>209</v>
      </c>
      <c r="B212">
        <f>Data_inputs!B212-Data_inputs!C212</f>
        <v>86.957114608433017</v>
      </c>
      <c r="C212">
        <f>Data_inputs!B212*K_factor</f>
        <v>2002.7000237440507</v>
      </c>
      <c r="D212">
        <f>Data_inputs!C212*K_factor</f>
        <v>1817.5425426478271</v>
      </c>
      <c r="E212">
        <f t="shared" si="6"/>
        <v>185.15748109622359</v>
      </c>
      <c r="F212">
        <f>Data_inputs!G212-Data_inputs!H212</f>
        <v>-10.306457488072056</v>
      </c>
      <c r="G212">
        <f t="shared" si="7"/>
        <v>-21.945504012062358</v>
      </c>
    </row>
    <row r="213" spans="1:7" x14ac:dyDescent="0.3">
      <c r="A213">
        <f>Data_inputs!A213</f>
        <v>210</v>
      </c>
      <c r="B213">
        <f>Data_inputs!B213-Data_inputs!C213</f>
        <v>97.873972016401524</v>
      </c>
      <c r="C213">
        <f>Data_inputs!B213*K_factor</f>
        <v>1067.5633309111026</v>
      </c>
      <c r="D213">
        <f>Data_inputs!C213*K_factor</f>
        <v>859.16062338058259</v>
      </c>
      <c r="E213">
        <f t="shared" si="6"/>
        <v>208.40270753052005</v>
      </c>
      <c r="F213">
        <f>Data_inputs!G213-Data_inputs!H213</f>
        <v>140.5052450211881</v>
      </c>
      <c r="G213">
        <f t="shared" si="7"/>
        <v>299.17732857258267</v>
      </c>
    </row>
    <row r="214" spans="1:7" x14ac:dyDescent="0.3">
      <c r="A214">
        <f>Data_inputs!A214</f>
        <v>211</v>
      </c>
      <c r="B214">
        <f>Data_inputs!B214-Data_inputs!C214</f>
        <v>450.20066155102404</v>
      </c>
      <c r="C214">
        <f>Data_inputs!B214*K_factor</f>
        <v>3152.3680148097101</v>
      </c>
      <c r="D214">
        <f>Data_inputs!C214*K_factor</f>
        <v>2193.7573150871931</v>
      </c>
      <c r="E214">
        <f t="shared" si="6"/>
        <v>958.61069972251698</v>
      </c>
      <c r="F214">
        <f>Data_inputs!G214-Data_inputs!H214</f>
        <v>465.66663546081008</v>
      </c>
      <c r="G214">
        <f t="shared" si="7"/>
        <v>991.54234407077786</v>
      </c>
    </row>
    <row r="215" spans="1:7" x14ac:dyDescent="0.3">
      <c r="A215">
        <f>Data_inputs!A215</f>
        <v>212</v>
      </c>
      <c r="B215">
        <f>Data_inputs!B215-Data_inputs!C215</f>
        <v>315.24119822942635</v>
      </c>
      <c r="C215">
        <f>Data_inputs!B215*K_factor</f>
        <v>1849.9856127823186</v>
      </c>
      <c r="D215">
        <f>Data_inputs!C215*K_factor</f>
        <v>1178.7436279861113</v>
      </c>
      <c r="E215">
        <f t="shared" si="6"/>
        <v>671.24198479620736</v>
      </c>
      <c r="F215">
        <f>Data_inputs!G215-Data_inputs!H215</f>
        <v>206.87389404091618</v>
      </c>
      <c r="G215">
        <f t="shared" si="7"/>
        <v>440.49586164015125</v>
      </c>
    </row>
    <row r="216" spans="1:7" x14ac:dyDescent="0.3">
      <c r="A216">
        <f>Data_inputs!A216</f>
        <v>213</v>
      </c>
      <c r="B216">
        <f>Data_inputs!B216-Data_inputs!C216</f>
        <v>350.83046251151393</v>
      </c>
      <c r="C216">
        <f>Data_inputs!B216*K_factor</f>
        <v>2162.5254373583016</v>
      </c>
      <c r="D216">
        <f>Data_inputs!C216*K_factor</f>
        <v>1415.5033561523624</v>
      </c>
      <c r="E216">
        <f t="shared" si="6"/>
        <v>747.02208120593923</v>
      </c>
      <c r="F216">
        <f>Data_inputs!G216-Data_inputs!H216</f>
        <v>318.47046667489803</v>
      </c>
      <c r="G216">
        <f t="shared" si="7"/>
        <v>678.11805484337378</v>
      </c>
    </row>
    <row r="217" spans="1:7" x14ac:dyDescent="0.3">
      <c r="A217">
        <f>Data_inputs!A217</f>
        <v>214</v>
      </c>
      <c r="B217">
        <f>Data_inputs!B217-Data_inputs!C217</f>
        <v>521.8532193249921</v>
      </c>
      <c r="C217">
        <f>Data_inputs!B217*K_factor</f>
        <v>3277.8613093221243</v>
      </c>
      <c r="D217">
        <f>Data_inputs!C217*K_factor</f>
        <v>2166.6810680356916</v>
      </c>
      <c r="E217">
        <f t="shared" si="6"/>
        <v>1111.1802412864326</v>
      </c>
      <c r="F217">
        <f>Data_inputs!G217-Data_inputs!H217</f>
        <v>471.04361936927262</v>
      </c>
      <c r="G217">
        <f t="shared" si="7"/>
        <v>1002.9915371686511</v>
      </c>
    </row>
    <row r="218" spans="1:7" x14ac:dyDescent="0.3">
      <c r="A218">
        <f>Data_inputs!A218</f>
        <v>215</v>
      </c>
      <c r="B218">
        <f>Data_inputs!B218-Data_inputs!C218</f>
        <v>1234.6603975863159</v>
      </c>
      <c r="C218">
        <f>Data_inputs!B218*K_factor</f>
        <v>4342.3219390204331</v>
      </c>
      <c r="D218">
        <f>Data_inputs!C218*K_factor</f>
        <v>1713.3638571457379</v>
      </c>
      <c r="E218">
        <f t="shared" si="6"/>
        <v>2628.9580818746954</v>
      </c>
      <c r="F218">
        <f>Data_inputs!G218-Data_inputs!H218</f>
        <v>260.18845138181814</v>
      </c>
      <c r="G218">
        <f t="shared" si="7"/>
        <v>554.01836278859946</v>
      </c>
    </row>
    <row r="219" spans="1:7" x14ac:dyDescent="0.3">
      <c r="A219">
        <f>Data_inputs!A219</f>
        <v>216</v>
      </c>
      <c r="B219">
        <f>Data_inputs!B219-Data_inputs!C219</f>
        <v>455.4243081712201</v>
      </c>
      <c r="C219">
        <f>Data_inputs!B219*K_factor</f>
        <v>2379.3894408715059</v>
      </c>
      <c r="D219">
        <f>Data_inputs!C219*K_factor</f>
        <v>1409.6560486046519</v>
      </c>
      <c r="E219">
        <f t="shared" si="6"/>
        <v>969.73339226685403</v>
      </c>
      <c r="F219">
        <f>Data_inputs!G219-Data_inputs!H219</f>
        <v>343.64616194208202</v>
      </c>
      <c r="G219">
        <f t="shared" si="7"/>
        <v>731.7245750402368</v>
      </c>
    </row>
    <row r="220" spans="1:7" x14ac:dyDescent="0.3">
      <c r="A220">
        <f>Data_inputs!A220</f>
        <v>217</v>
      </c>
      <c r="B220">
        <f>Data_inputs!B220-Data_inputs!C220</f>
        <v>138.16769309985648</v>
      </c>
      <c r="C220">
        <f>Data_inputs!B220*K_factor</f>
        <v>1585.2134201235101</v>
      </c>
      <c r="D220">
        <f>Data_inputs!C220*K_factor</f>
        <v>1291.0134327108126</v>
      </c>
      <c r="E220">
        <f t="shared" si="6"/>
        <v>294.19998741269751</v>
      </c>
      <c r="F220">
        <f>Data_inputs!G220-Data_inputs!H220</f>
        <v>146.96834491751497</v>
      </c>
      <c r="G220">
        <f t="shared" si="7"/>
        <v>312.93918465837658</v>
      </c>
    </row>
    <row r="221" spans="1:7" x14ac:dyDescent="0.3">
      <c r="A221">
        <f>Data_inputs!A221</f>
        <v>218</v>
      </c>
      <c r="B221">
        <f>Data_inputs!B221-Data_inputs!C221</f>
        <v>971.36410249172081</v>
      </c>
      <c r="C221">
        <f>Data_inputs!B221*K_factor</f>
        <v>4755.4925633574576</v>
      </c>
      <c r="D221">
        <f>Data_inputs!C221*K_factor</f>
        <v>2687.1703650583577</v>
      </c>
      <c r="E221">
        <f t="shared" si="6"/>
        <v>2068.3221982990999</v>
      </c>
      <c r="F221">
        <f>Data_inputs!G221-Data_inputs!H221</f>
        <v>93.410830827564041</v>
      </c>
      <c r="G221">
        <f t="shared" si="7"/>
        <v>198.89935655086583</v>
      </c>
    </row>
    <row r="222" spans="1:7" x14ac:dyDescent="0.3">
      <c r="A222">
        <f>Data_inputs!A222</f>
        <v>219</v>
      </c>
      <c r="B222">
        <f>Data_inputs!B222-Data_inputs!C222</f>
        <v>187.31717211891822</v>
      </c>
      <c r="C222">
        <f>Data_inputs!B222*K_factor</f>
        <v>1171.4311402104183</v>
      </c>
      <c r="D222">
        <f>Data_inputs!C222*K_factor</f>
        <v>772.57733840495803</v>
      </c>
      <c r="E222">
        <f t="shared" si="6"/>
        <v>398.85380180546031</v>
      </c>
      <c r="F222">
        <f>Data_inputs!G222-Data_inputs!H222</f>
        <v>176.72257094649353</v>
      </c>
      <c r="G222">
        <f t="shared" si="7"/>
        <v>376.29475445046677</v>
      </c>
    </row>
    <row r="223" spans="1:7" x14ac:dyDescent="0.3">
      <c r="A223">
        <f>Data_inputs!A223</f>
        <v>220</v>
      </c>
      <c r="B223">
        <f>Data_inputs!B223-Data_inputs!C223</f>
        <v>129.27085799524423</v>
      </c>
      <c r="C223">
        <f>Data_inputs!B223*K_factor</f>
        <v>1465.0539059734285</v>
      </c>
      <c r="D223">
        <f>Data_inputs!C223*K_factor</f>
        <v>1189.7979185441286</v>
      </c>
      <c r="E223">
        <f t="shared" si="6"/>
        <v>275.25598742929992</v>
      </c>
      <c r="F223">
        <f>Data_inputs!G223-Data_inputs!H223</f>
        <v>153.16089212487896</v>
      </c>
      <c r="G223">
        <f t="shared" si="7"/>
        <v>326.12495384641926</v>
      </c>
    </row>
    <row r="224" spans="1:7" x14ac:dyDescent="0.3">
      <c r="A224">
        <f>Data_inputs!A224</f>
        <v>221</v>
      </c>
      <c r="B224">
        <f>Data_inputs!B224-Data_inputs!C224</f>
        <v>362.33911049018866</v>
      </c>
      <c r="C224">
        <f>Data_inputs!B224*K_factor</f>
        <v>2083.1401454769361</v>
      </c>
      <c r="D224">
        <f>Data_inputs!C224*K_factor</f>
        <v>1311.6127402368452</v>
      </c>
      <c r="E224">
        <f t="shared" si="6"/>
        <v>771.52740524009096</v>
      </c>
      <c r="F224">
        <f>Data_inputs!G224-Data_inputs!H224</f>
        <v>159.96522619997995</v>
      </c>
      <c r="G224">
        <f t="shared" si="7"/>
        <v>340.61339867989949</v>
      </c>
    </row>
    <row r="225" spans="1:7" x14ac:dyDescent="0.3">
      <c r="A225">
        <f>Data_inputs!A225</f>
        <v>222</v>
      </c>
      <c r="B225">
        <f>Data_inputs!B225-Data_inputs!C225</f>
        <v>219.89722801338456</v>
      </c>
      <c r="C225">
        <f>Data_inputs!B225*K_factor</f>
        <v>1347.6771806031143</v>
      </c>
      <c r="D225">
        <f>Data_inputs!C225*K_factor</f>
        <v>879.45077932080153</v>
      </c>
      <c r="E225">
        <f t="shared" si="6"/>
        <v>468.22640128231274</v>
      </c>
      <c r="F225">
        <f>Data_inputs!G225-Data_inputs!H225</f>
        <v>237.33668569969382</v>
      </c>
      <c r="G225">
        <f t="shared" si="7"/>
        <v>505.36017775847051</v>
      </c>
    </row>
    <row r="226" spans="1:7" x14ac:dyDescent="0.3">
      <c r="A226">
        <f>Data_inputs!A226</f>
        <v>223</v>
      </c>
      <c r="B226">
        <f>Data_inputs!B226-Data_inputs!C226</f>
        <v>311.33650544134821</v>
      </c>
      <c r="C226">
        <f>Data_inputs!B226*K_factor</f>
        <v>2045.8144366726638</v>
      </c>
      <c r="D226">
        <f>Data_inputs!C226*K_factor</f>
        <v>1382.8867006225275</v>
      </c>
      <c r="E226">
        <f t="shared" si="6"/>
        <v>662.92773605013622</v>
      </c>
      <c r="F226">
        <f>Data_inputs!G226-Data_inputs!H226</f>
        <v>261.56649490184418</v>
      </c>
      <c r="G226">
        <f t="shared" si="7"/>
        <v>556.95262605340486</v>
      </c>
    </row>
    <row r="227" spans="1:7" x14ac:dyDescent="0.3">
      <c r="A227">
        <f>Data_inputs!A227</f>
        <v>224</v>
      </c>
      <c r="B227">
        <f>Data_inputs!B227-Data_inputs!C227</f>
        <v>374.03300114155456</v>
      </c>
      <c r="C227">
        <f>Data_inputs!B227*K_factor</f>
        <v>2311.3384207882596</v>
      </c>
      <c r="D227">
        <f>Data_inputs!C227*K_factor</f>
        <v>1514.9112549366125</v>
      </c>
      <c r="E227">
        <f t="shared" si="6"/>
        <v>796.42716585164703</v>
      </c>
      <c r="F227">
        <f>Data_inputs!G227-Data_inputs!H227</f>
        <v>226.78726450723616</v>
      </c>
      <c r="G227">
        <f t="shared" si="7"/>
        <v>482.89733197737155</v>
      </c>
    </row>
    <row r="228" spans="1:7" x14ac:dyDescent="0.3">
      <c r="A228">
        <f>Data_inputs!A228</f>
        <v>225</v>
      </c>
      <c r="B228">
        <f>Data_inputs!B228-Data_inputs!C228</f>
        <v>294.53912507482835</v>
      </c>
      <c r="C228">
        <f>Data_inputs!B228*K_factor</f>
        <v>1942.1613772196761</v>
      </c>
      <c r="D228">
        <f>Data_inputs!C228*K_factor</f>
        <v>1315.0002446462652</v>
      </c>
      <c r="E228">
        <f t="shared" si="6"/>
        <v>627.1611325734109</v>
      </c>
      <c r="F228">
        <f>Data_inputs!G228-Data_inputs!H228</f>
        <v>184.83085584166702</v>
      </c>
      <c r="G228">
        <f t="shared" si="7"/>
        <v>393.5596972209492</v>
      </c>
    </row>
    <row r="229" spans="1:7" x14ac:dyDescent="0.3">
      <c r="A229">
        <f>Data_inputs!A229</f>
        <v>226</v>
      </c>
      <c r="B229">
        <f>Data_inputs!B229-Data_inputs!C229</f>
        <v>165.79319424253231</v>
      </c>
      <c r="C229">
        <f>Data_inputs!B229*K_factor</f>
        <v>1682.4200878185125</v>
      </c>
      <c r="D229">
        <f>Data_inputs!C229*K_factor</f>
        <v>1329.3972170956706</v>
      </c>
      <c r="E229">
        <f t="shared" si="6"/>
        <v>353.02287072284184</v>
      </c>
      <c r="F229">
        <f>Data_inputs!G229-Data_inputs!H229</f>
        <v>227.21975228492011</v>
      </c>
      <c r="G229">
        <f t="shared" si="7"/>
        <v>483.81822669520409</v>
      </c>
    </row>
    <row r="230" spans="1:7" x14ac:dyDescent="0.3">
      <c r="A230">
        <f>Data_inputs!A230</f>
        <v>227</v>
      </c>
      <c r="B230">
        <f>Data_inputs!B230-Data_inputs!C230</f>
        <v>332.41899081851818</v>
      </c>
      <c r="C230">
        <f>Data_inputs!B230*K_factor</f>
        <v>1860.2016901418522</v>
      </c>
      <c r="D230">
        <f>Data_inputs!C230*K_factor</f>
        <v>1152.3830914491073</v>
      </c>
      <c r="E230">
        <f t="shared" si="6"/>
        <v>707.8185986927449</v>
      </c>
      <c r="F230">
        <f>Data_inputs!G230-Data_inputs!H230</f>
        <v>280.89885838921418</v>
      </c>
      <c r="G230">
        <f t="shared" si="7"/>
        <v>598.11696025511594</v>
      </c>
    </row>
    <row r="231" spans="1:7" x14ac:dyDescent="0.3">
      <c r="A231">
        <f>Data_inputs!A231</f>
        <v>228</v>
      </c>
      <c r="B231">
        <f>Data_inputs!B231-Data_inputs!C231</f>
        <v>224.40264389535366</v>
      </c>
      <c r="C231">
        <f>Data_inputs!B231*K_factor</f>
        <v>2121.9520880594491</v>
      </c>
      <c r="D231">
        <f>Data_inputs!C231*K_factor</f>
        <v>1644.1323204407215</v>
      </c>
      <c r="E231">
        <f t="shared" si="6"/>
        <v>477.81976761872761</v>
      </c>
      <c r="F231">
        <f>Data_inputs!G231-Data_inputs!H231</f>
        <v>195.3597980556558</v>
      </c>
      <c r="G231">
        <f t="shared" si="7"/>
        <v>415.9789371845622</v>
      </c>
    </row>
    <row r="232" spans="1:7" x14ac:dyDescent="0.3">
      <c r="A232">
        <f>Data_inputs!A232</f>
        <v>229</v>
      </c>
      <c r="B232">
        <f>Data_inputs!B232-Data_inputs!C232</f>
        <v>608.44993058738123</v>
      </c>
      <c r="C232">
        <f>Data_inputs!B232*K_factor</f>
        <v>2962.4670646788318</v>
      </c>
      <c r="D232">
        <f>Data_inputs!C232*K_factor</f>
        <v>1666.8967478849258</v>
      </c>
      <c r="E232">
        <f t="shared" si="6"/>
        <v>1295.5703167939059</v>
      </c>
      <c r="F232">
        <f>Data_inputs!G232-Data_inputs!H232</f>
        <v>467.83492544734781</v>
      </c>
      <c r="G232">
        <f t="shared" si="7"/>
        <v>996.15927638277242</v>
      </c>
    </row>
    <row r="233" spans="1:7" x14ac:dyDescent="0.3">
      <c r="A233">
        <f>Data_inputs!A233</f>
        <v>230</v>
      </c>
      <c r="B233">
        <f>Data_inputs!B233-Data_inputs!C233</f>
        <v>529.96565445105432</v>
      </c>
      <c r="C233">
        <f>Data_inputs!B233*K_factor</f>
        <v>2838.5061734994779</v>
      </c>
      <c r="D233">
        <f>Data_inputs!C233*K_factor</f>
        <v>1710.0521523703942</v>
      </c>
      <c r="E233">
        <f t="shared" si="6"/>
        <v>1128.4540211290837</v>
      </c>
      <c r="F233">
        <f>Data_inputs!G233-Data_inputs!H233</f>
        <v>441.45959784656475</v>
      </c>
      <c r="G233">
        <f t="shared" si="7"/>
        <v>939.99838323861229</v>
      </c>
    </row>
    <row r="234" spans="1:7" x14ac:dyDescent="0.3">
      <c r="A234">
        <f>Data_inputs!A234</f>
        <v>231</v>
      </c>
      <c r="B234">
        <f>Data_inputs!B234-Data_inputs!C234</f>
        <v>1330.5015416503591</v>
      </c>
      <c r="C234">
        <f>Data_inputs!B234*K_factor</f>
        <v>5112.7043677029496</v>
      </c>
      <c r="D234">
        <f>Data_inputs!C234*K_factor</f>
        <v>2279.6720717724261</v>
      </c>
      <c r="E234">
        <f t="shared" si="6"/>
        <v>2833.0322959305236</v>
      </c>
      <c r="F234">
        <f>Data_inputs!G234-Data_inputs!H234</f>
        <v>176.02111225182193</v>
      </c>
      <c r="G234">
        <f t="shared" si="7"/>
        <v>374.8011408964374</v>
      </c>
    </row>
    <row r="235" spans="1:7" x14ac:dyDescent="0.3">
      <c r="A235">
        <f>Data_inputs!A235</f>
        <v>232</v>
      </c>
      <c r="B235">
        <f>Data_inputs!B235-Data_inputs!C235</f>
        <v>179.66093110778377</v>
      </c>
      <c r="C235">
        <f>Data_inputs!B235*K_factor</f>
        <v>1420.4648512011331</v>
      </c>
      <c r="D235">
        <f>Data_inputs!C235*K_factor</f>
        <v>1037.9134566992125</v>
      </c>
      <c r="E235">
        <f t="shared" si="6"/>
        <v>382.55139450192064</v>
      </c>
      <c r="F235">
        <f>Data_inputs!G235-Data_inputs!H235</f>
        <v>177.26707848875412</v>
      </c>
      <c r="G235">
        <f t="shared" si="7"/>
        <v>377.45417246263122</v>
      </c>
    </row>
    <row r="236" spans="1:7" x14ac:dyDescent="0.3">
      <c r="A236">
        <f>Data_inputs!A236</f>
        <v>233</v>
      </c>
      <c r="B236">
        <f>Data_inputs!B236-Data_inputs!C236</f>
        <v>387.62670750755774</v>
      </c>
      <c r="C236">
        <f>Data_inputs!B236*K_factor</f>
        <v>2212.3637996671755</v>
      </c>
      <c r="D236">
        <f>Data_inputs!C236*K_factor</f>
        <v>1386.9916022235218</v>
      </c>
      <c r="E236">
        <f t="shared" si="6"/>
        <v>825.3721974436537</v>
      </c>
      <c r="F236">
        <f>Data_inputs!G236-Data_inputs!H236</f>
        <v>299.95355440176081</v>
      </c>
      <c r="G236">
        <f t="shared" si="7"/>
        <v>638.6900580703375</v>
      </c>
    </row>
    <row r="237" spans="1:7" x14ac:dyDescent="0.3">
      <c r="A237">
        <f>Data_inputs!A237</f>
        <v>234</v>
      </c>
      <c r="B237">
        <f>Data_inputs!B237-Data_inputs!C237</f>
        <v>494.67337061669298</v>
      </c>
      <c r="C237">
        <f>Data_inputs!B237*K_factor</f>
        <v>3053.3796406251622</v>
      </c>
      <c r="D237">
        <f>Data_inputs!C237*K_factor</f>
        <v>2000.073356473423</v>
      </c>
      <c r="E237">
        <f t="shared" si="6"/>
        <v>1053.3062841517392</v>
      </c>
      <c r="F237">
        <f>Data_inputs!G237-Data_inputs!H237</f>
        <v>532.35594212503884</v>
      </c>
      <c r="G237">
        <f t="shared" si="7"/>
        <v>1133.543652343312</v>
      </c>
    </row>
    <row r="238" spans="1:7" x14ac:dyDescent="0.3">
      <c r="A238">
        <f>Data_inputs!A238</f>
        <v>235</v>
      </c>
      <c r="B238">
        <f>Data_inputs!B238-Data_inputs!C238</f>
        <v>232.24533606321756</v>
      </c>
      <c r="C238">
        <f>Data_inputs!B238*K_factor</f>
        <v>1689.5537110544585</v>
      </c>
      <c r="D238">
        <f>Data_inputs!C238*K_factor</f>
        <v>1195.0345263339366</v>
      </c>
      <c r="E238">
        <f t="shared" si="6"/>
        <v>494.51918472052193</v>
      </c>
      <c r="F238">
        <f>Data_inputs!G238-Data_inputs!H238</f>
        <v>185.29652314975874</v>
      </c>
      <c r="G238">
        <f t="shared" si="7"/>
        <v>394.5512409972506</v>
      </c>
    </row>
    <row r="239" spans="1:7" x14ac:dyDescent="0.3">
      <c r="A239">
        <f>Data_inputs!A239</f>
        <v>236</v>
      </c>
      <c r="B239">
        <f>Data_inputs!B239-Data_inputs!C239</f>
        <v>221.27307586405539</v>
      </c>
      <c r="C239">
        <f>Data_inputs!B239*K_factor</f>
        <v>1890.317562228453</v>
      </c>
      <c r="D239">
        <f>Data_inputs!C239*K_factor</f>
        <v>1419.1615729124412</v>
      </c>
      <c r="E239">
        <f t="shared" si="6"/>
        <v>471.15598931601176</v>
      </c>
      <c r="F239">
        <f>Data_inputs!G239-Data_inputs!H239</f>
        <v>278.78860422503703</v>
      </c>
      <c r="G239">
        <f t="shared" si="7"/>
        <v>593.62360341742294</v>
      </c>
    </row>
    <row r="240" spans="1:7" x14ac:dyDescent="0.3">
      <c r="A240">
        <f>Data_inputs!A240</f>
        <v>237</v>
      </c>
      <c r="B240">
        <f>Data_inputs!B240-Data_inputs!C240</f>
        <v>-41.491483120049793</v>
      </c>
      <c r="C240">
        <f>Data_inputs!B240*K_factor</f>
        <v>1138.4095210542259</v>
      </c>
      <c r="D240">
        <f>Data_inputs!C240*K_factor</f>
        <v>1226.7571914668072</v>
      </c>
      <c r="E240">
        <f t="shared" si="6"/>
        <v>-88.347670412581238</v>
      </c>
      <c r="F240">
        <f>Data_inputs!G240-Data_inputs!H240</f>
        <v>117.41293021483693</v>
      </c>
      <c r="G240">
        <f t="shared" si="7"/>
        <v>250.00694313053447</v>
      </c>
    </row>
    <row r="241" spans="1:7" x14ac:dyDescent="0.3">
      <c r="A241">
        <f>Data_inputs!A241</f>
        <v>238</v>
      </c>
      <c r="B241">
        <f>Data_inputs!B241-Data_inputs!C241</f>
        <v>359.1928620139164</v>
      </c>
      <c r="C241">
        <f>Data_inputs!B241*K_factor</f>
        <v>2207.4856031238173</v>
      </c>
      <c r="D241">
        <f>Data_inputs!C241*K_factor</f>
        <v>1442.6574937997948</v>
      </c>
      <c r="E241">
        <f t="shared" si="6"/>
        <v>764.82810932402253</v>
      </c>
      <c r="F241">
        <f>Data_inputs!G241-Data_inputs!H241</f>
        <v>420.98897955175971</v>
      </c>
      <c r="G241">
        <f t="shared" si="7"/>
        <v>896.41036704216879</v>
      </c>
    </row>
    <row r="242" spans="1:7" x14ac:dyDescent="0.3">
      <c r="A242">
        <f>Data_inputs!A242</f>
        <v>239</v>
      </c>
      <c r="B242">
        <f>Data_inputs!B242-Data_inputs!C242</f>
        <v>468.30216849147325</v>
      </c>
      <c r="C242">
        <f>Data_inputs!B242*K_factor</f>
        <v>2307.7888618096717</v>
      </c>
      <c r="D242">
        <f>Data_inputs!C242*K_factor</f>
        <v>1310.6346864413526</v>
      </c>
      <c r="E242">
        <f t="shared" si="6"/>
        <v>997.1541753683191</v>
      </c>
      <c r="F242">
        <f>Data_inputs!G242-Data_inputs!H242</f>
        <v>317.73126143753598</v>
      </c>
      <c r="G242">
        <f t="shared" si="7"/>
        <v>676.54406770753769</v>
      </c>
    </row>
    <row r="243" spans="1:7" x14ac:dyDescent="0.3">
      <c r="A243">
        <f>Data_inputs!A243</f>
        <v>240</v>
      </c>
      <c r="B243">
        <f>Data_inputs!B243-Data_inputs!C243</f>
        <v>169.13698214874449</v>
      </c>
      <c r="C243">
        <f>Data_inputs!B243*K_factor</f>
        <v>1281.4067188132149</v>
      </c>
      <c r="D243">
        <f>Data_inputs!C243*K_factor</f>
        <v>921.26393215454448</v>
      </c>
      <c r="E243">
        <f t="shared" si="6"/>
        <v>360.14278665867039</v>
      </c>
      <c r="F243">
        <f>Data_inputs!G243-Data_inputs!H243</f>
        <v>163.43964591544591</v>
      </c>
      <c r="G243">
        <f t="shared" si="7"/>
        <v>348.01146847192945</v>
      </c>
    </row>
    <row r="244" spans="1:7" x14ac:dyDescent="0.3">
      <c r="A244">
        <f>Data_inputs!A244</f>
        <v>241</v>
      </c>
      <c r="B244">
        <f>Data_inputs!B244-Data_inputs!C244</f>
        <v>519.85662187252308</v>
      </c>
      <c r="C244">
        <f>Data_inputs!B244*K_factor</f>
        <v>2426.1583365090105</v>
      </c>
      <c r="D244">
        <f>Data_inputs!C244*K_factor</f>
        <v>1319.2294432201159</v>
      </c>
      <c r="E244">
        <f t="shared" si="6"/>
        <v>1106.9288932888946</v>
      </c>
      <c r="F244">
        <f>Data_inputs!G244-Data_inputs!H244</f>
        <v>262.19881821476702</v>
      </c>
      <c r="G244">
        <f t="shared" si="7"/>
        <v>558.29902988000856</v>
      </c>
    </row>
    <row r="245" spans="1:7" x14ac:dyDescent="0.3">
      <c r="A245">
        <f>Data_inputs!A245</f>
        <v>242</v>
      </c>
      <c r="B245">
        <f>Data_inputs!B245-Data_inputs!C245</f>
        <v>244.42613626785072</v>
      </c>
      <c r="C245">
        <f>Data_inputs!B245*K_factor</f>
        <v>1563.2174642328994</v>
      </c>
      <c r="D245">
        <f>Data_inputs!C245*K_factor</f>
        <v>1042.761744085896</v>
      </c>
      <c r="E245">
        <f t="shared" si="6"/>
        <v>520.45572014700338</v>
      </c>
      <c r="F245">
        <f>Data_inputs!G245-Data_inputs!H245</f>
        <v>257.72986286616106</v>
      </c>
      <c r="G245">
        <f t="shared" si="7"/>
        <v>548.78329883022127</v>
      </c>
    </row>
    <row r="246" spans="1:7" x14ac:dyDescent="0.3">
      <c r="A246">
        <f>Data_inputs!A246</f>
        <v>243</v>
      </c>
      <c r="B246">
        <f>Data_inputs!B246-Data_inputs!C246</f>
        <v>895.60983916925181</v>
      </c>
      <c r="C246">
        <f>Data_inputs!B246*K_factor</f>
        <v>3482.4991827789386</v>
      </c>
      <c r="D246">
        <f>Data_inputs!C246*K_factor</f>
        <v>1575.4802733740191</v>
      </c>
      <c r="E246">
        <f t="shared" si="6"/>
        <v>1907.0189094049194</v>
      </c>
      <c r="F246">
        <f>Data_inputs!G246-Data_inputs!H246</f>
        <v>97.884250386066924</v>
      </c>
      <c r="G246">
        <f t="shared" si="7"/>
        <v>208.42459322722914</v>
      </c>
    </row>
    <row r="247" spans="1:7" x14ac:dyDescent="0.3">
      <c r="A247">
        <f>Data_inputs!A247</f>
        <v>244</v>
      </c>
      <c r="B247">
        <f>Data_inputs!B247-Data_inputs!C247</f>
        <v>315.60584344815356</v>
      </c>
      <c r="C247">
        <f>Data_inputs!B247*K_factor</f>
        <v>1934.0425140498025</v>
      </c>
      <c r="D247">
        <f>Data_inputs!C247*K_factor</f>
        <v>1262.0240914601225</v>
      </c>
      <c r="E247">
        <f t="shared" si="6"/>
        <v>672.01842258968009</v>
      </c>
      <c r="F247">
        <f>Data_inputs!G247-Data_inputs!H247</f>
        <v>246.47312490600279</v>
      </c>
      <c r="G247">
        <f t="shared" si="7"/>
        <v>524.81436592060732</v>
      </c>
    </row>
    <row r="248" spans="1:7" x14ac:dyDescent="0.3">
      <c r="A248">
        <f>Data_inputs!A248</f>
        <v>245</v>
      </c>
      <c r="B248">
        <f>Data_inputs!B248-Data_inputs!C248</f>
        <v>161.29219029610931</v>
      </c>
      <c r="C248">
        <f>Data_inputs!B248*K_factor</f>
        <v>1931.8363152102377</v>
      </c>
      <c r="D248">
        <f>Data_inputs!C248*K_factor</f>
        <v>1588.3974165048278</v>
      </c>
      <c r="E248">
        <f t="shared" si="6"/>
        <v>343.43889870540988</v>
      </c>
      <c r="F248">
        <f>Data_inputs!G248-Data_inputs!H248</f>
        <v>369.04463382998892</v>
      </c>
      <c r="G248">
        <f t="shared" si="7"/>
        <v>785.80545271924416</v>
      </c>
    </row>
    <row r="249" spans="1:7" x14ac:dyDescent="0.3">
      <c r="A249">
        <f>Data_inputs!A249</f>
        <v>246</v>
      </c>
      <c r="B249">
        <f>Data_inputs!B249-Data_inputs!C249</f>
        <v>397.92342566641321</v>
      </c>
      <c r="C249">
        <f>Data_inputs!B249*K_factor</f>
        <v>2340.9975874277789</v>
      </c>
      <c r="D249">
        <f>Data_inputs!C249*K_factor</f>
        <v>1493.7006238918229</v>
      </c>
      <c r="E249">
        <f t="shared" si="6"/>
        <v>847.29696353595591</v>
      </c>
      <c r="F249">
        <f>Data_inputs!G249-Data_inputs!H249</f>
        <v>334.84914588536299</v>
      </c>
      <c r="G249">
        <f t="shared" si="7"/>
        <v>712.99311940765574</v>
      </c>
    </row>
    <row r="250" spans="1:7" x14ac:dyDescent="0.3">
      <c r="A250">
        <f>Data_inputs!A250</f>
        <v>247</v>
      </c>
      <c r="B250">
        <f>Data_inputs!B250-Data_inputs!C250</f>
        <v>633.56068376481528</v>
      </c>
      <c r="C250">
        <f>Data_inputs!B250*K_factor</f>
        <v>2939.9211710057762</v>
      </c>
      <c r="D250">
        <f>Data_inputs!C250*K_factor</f>
        <v>1590.8826149803929</v>
      </c>
      <c r="E250">
        <f t="shared" si="6"/>
        <v>1349.0385560253833</v>
      </c>
      <c r="F250">
        <f>Data_inputs!G250-Data_inputs!H250</f>
        <v>606.81243146307679</v>
      </c>
      <c r="G250">
        <f t="shared" si="7"/>
        <v>1292.0835956150954</v>
      </c>
    </row>
    <row r="251" spans="1:7" x14ac:dyDescent="0.3">
      <c r="A251">
        <f>Data_inputs!A251</f>
        <v>248</v>
      </c>
      <c r="B251">
        <f>Data_inputs!B251-Data_inputs!C251</f>
        <v>464.64714622611427</v>
      </c>
      <c r="C251">
        <f>Data_inputs!B251*K_factor</f>
        <v>3048.3919602144088</v>
      </c>
      <c r="D251">
        <f>Data_inputs!C251*K_factor</f>
        <v>2059.0204110182194</v>
      </c>
      <c r="E251">
        <f t="shared" si="6"/>
        <v>989.37154919618933</v>
      </c>
      <c r="F251">
        <f>Data_inputs!G251-Data_inputs!H251</f>
        <v>472.54874898631897</v>
      </c>
      <c r="G251">
        <f t="shared" si="7"/>
        <v>1006.1964044169556</v>
      </c>
    </row>
    <row r="252" spans="1:7" x14ac:dyDescent="0.3">
      <c r="A252">
        <f>Data_inputs!A252</f>
        <v>249</v>
      </c>
      <c r="B252">
        <f>Data_inputs!B252-Data_inputs!C252</f>
        <v>434.18450603444501</v>
      </c>
      <c r="C252">
        <f>Data_inputs!B252*K_factor</f>
        <v>2125.4739464618287</v>
      </c>
      <c r="D252">
        <f>Data_inputs!C252*K_factor</f>
        <v>1200.9663908655727</v>
      </c>
      <c r="E252">
        <f t="shared" si="6"/>
        <v>924.507555596256</v>
      </c>
      <c r="F252">
        <f>Data_inputs!G252-Data_inputs!H252</f>
        <v>268.62193231364699</v>
      </c>
      <c r="G252">
        <f t="shared" si="7"/>
        <v>571.97574434664659</v>
      </c>
    </row>
    <row r="253" spans="1:7" x14ac:dyDescent="0.3">
      <c r="A253">
        <f>Data_inputs!A253</f>
        <v>250</v>
      </c>
      <c r="B253">
        <f>Data_inputs!B253-Data_inputs!C253</f>
        <v>718.04960003449992</v>
      </c>
      <c r="C253">
        <f>Data_inputs!B253*K_factor</f>
        <v>3017.1538168073221</v>
      </c>
      <c r="D253">
        <f>Data_inputs!C253*K_factor</f>
        <v>1488.2133058069121</v>
      </c>
      <c r="E253">
        <f t="shared" si="6"/>
        <v>1528.94051100041</v>
      </c>
      <c r="F253">
        <f>Data_inputs!G253-Data_inputs!H253</f>
        <v>583.81981640171307</v>
      </c>
      <c r="G253">
        <f t="shared" si="7"/>
        <v>1243.1255004926024</v>
      </c>
    </row>
    <row r="254" spans="1:7" x14ac:dyDescent="0.3">
      <c r="A254">
        <f>Data_inputs!A254</f>
        <v>251</v>
      </c>
      <c r="B254">
        <f>Data_inputs!B254-Data_inputs!C254</f>
        <v>137.23721473850901</v>
      </c>
      <c r="C254">
        <f>Data_inputs!B254*K_factor</f>
        <v>3180.3770397164367</v>
      </c>
      <c r="D254">
        <f>Data_inputs!C254*K_factor</f>
        <v>2888.1583166359037</v>
      </c>
      <c r="E254">
        <f t="shared" si="6"/>
        <v>292.21872308053298</v>
      </c>
      <c r="F254">
        <f>Data_inputs!G254-Data_inputs!H254</f>
        <v>491.10525508628234</v>
      </c>
      <c r="G254">
        <f t="shared" si="7"/>
        <v>1045.7087081874711</v>
      </c>
    </row>
    <row r="255" spans="1:7" x14ac:dyDescent="0.3">
      <c r="A255">
        <f>Data_inputs!A255</f>
        <v>252</v>
      </c>
      <c r="B255">
        <f>Data_inputs!B255-Data_inputs!C255</f>
        <v>471.48094317876098</v>
      </c>
      <c r="C255">
        <f>Data_inputs!B255*K_factor</f>
        <v>2799.9069649155153</v>
      </c>
      <c r="D255">
        <f>Data_inputs!C255*K_factor</f>
        <v>1795.9842356833637</v>
      </c>
      <c r="E255">
        <f t="shared" si="6"/>
        <v>1003.9227292321516</v>
      </c>
      <c r="F255">
        <f>Data_inputs!G255-Data_inputs!H255</f>
        <v>415.57796360554084</v>
      </c>
      <c r="G255">
        <f t="shared" si="7"/>
        <v>884.88870964490025</v>
      </c>
    </row>
    <row r="256" spans="1:7" x14ac:dyDescent="0.3">
      <c r="A256">
        <f>Data_inputs!A256</f>
        <v>253</v>
      </c>
      <c r="B256">
        <f>Data_inputs!B256-Data_inputs!C256</f>
        <v>509.405475609164</v>
      </c>
      <c r="C256">
        <f>Data_inputs!B256*K_factor</f>
        <v>2427.7561752689248</v>
      </c>
      <c r="D256">
        <f>Data_inputs!C256*K_factor</f>
        <v>1343.0808712970811</v>
      </c>
      <c r="E256">
        <f t="shared" si="6"/>
        <v>1084.6753039718437</v>
      </c>
      <c r="F256">
        <f>Data_inputs!G256-Data_inputs!H256</f>
        <v>359.95408061916487</v>
      </c>
      <c r="G256">
        <f t="shared" si="7"/>
        <v>766.44896944738389</v>
      </c>
    </row>
    <row r="257" spans="1:7" x14ac:dyDescent="0.3">
      <c r="A257">
        <f>Data_inputs!A257</f>
        <v>254</v>
      </c>
      <c r="B257">
        <f>Data_inputs!B257-Data_inputs!C257</f>
        <v>154.22491805580506</v>
      </c>
      <c r="C257">
        <f>Data_inputs!B257*K_factor</f>
        <v>1313.0326118113089</v>
      </c>
      <c r="D257">
        <f>Data_inputs!C257*K_factor</f>
        <v>984.6420312582253</v>
      </c>
      <c r="E257">
        <f t="shared" si="6"/>
        <v>328.39058055308362</v>
      </c>
      <c r="F257">
        <f>Data_inputs!G257-Data_inputs!H257</f>
        <v>154.39515549083399</v>
      </c>
      <c r="G257">
        <f t="shared" si="7"/>
        <v>328.75306653022506</v>
      </c>
    </row>
    <row r="258" spans="1:7" x14ac:dyDescent="0.3">
      <c r="A258">
        <f>Data_inputs!A258</f>
        <v>255</v>
      </c>
      <c r="B258">
        <f>Data_inputs!B258-Data_inputs!C258</f>
        <v>484.40583599008789</v>
      </c>
      <c r="C258">
        <f>Data_inputs!B258*K_factor</f>
        <v>2311.4925613755036</v>
      </c>
      <c r="D258">
        <f>Data_inputs!C258*K_factor</f>
        <v>1280.0489029225482</v>
      </c>
      <c r="E258">
        <f t="shared" si="6"/>
        <v>1031.4436584529553</v>
      </c>
      <c r="F258">
        <f>Data_inputs!G258-Data_inputs!H258</f>
        <v>307.9832558610151</v>
      </c>
      <c r="G258">
        <f t="shared" si="7"/>
        <v>655.78767340457512</v>
      </c>
    </row>
    <row r="259" spans="1:7" x14ac:dyDescent="0.3">
      <c r="A259">
        <f>Data_inputs!A259</f>
        <v>256</v>
      </c>
      <c r="B259">
        <f>Data_inputs!B259-Data_inputs!C259</f>
        <v>633.70113437928694</v>
      </c>
      <c r="C259">
        <f>Data_inputs!B259*K_factor</f>
        <v>3649.967439636745</v>
      </c>
      <c r="D259">
        <f>Data_inputs!C259*K_factor</f>
        <v>2300.6298226074277</v>
      </c>
      <c r="E259">
        <f t="shared" si="6"/>
        <v>1349.3376170293172</v>
      </c>
      <c r="F259">
        <f>Data_inputs!G259-Data_inputs!H259</f>
        <v>410.84834868397002</v>
      </c>
      <c r="G259">
        <f t="shared" si="7"/>
        <v>874.81795707477943</v>
      </c>
    </row>
    <row r="260" spans="1:7" x14ac:dyDescent="0.3">
      <c r="A260">
        <f>Data_inputs!A260</f>
        <v>257</v>
      </c>
      <c r="B260">
        <f>Data_inputs!B260-Data_inputs!C260</f>
        <v>191.19725696407431</v>
      </c>
      <c r="C260">
        <f>Data_inputs!B260*K_factor</f>
        <v>1570.2252193032105</v>
      </c>
      <c r="D260">
        <f>Data_inputs!C260*K_factor</f>
        <v>1163.1095663587857</v>
      </c>
      <c r="E260">
        <f t="shared" ref="E260:E323" si="8">C260-D260</f>
        <v>407.11565294442471</v>
      </c>
      <c r="F260">
        <f>Data_inputs!G260-Data_inputs!H260</f>
        <v>192.88494736708299</v>
      </c>
      <c r="G260">
        <f t="shared" ref="G260:G323" si="9">F260*K_factor</f>
        <v>410.70924623806712</v>
      </c>
    </row>
    <row r="261" spans="1:7" x14ac:dyDescent="0.3">
      <c r="A261">
        <f>Data_inputs!A261</f>
        <v>258</v>
      </c>
      <c r="B261">
        <f>Data_inputs!B261-Data_inputs!C261</f>
        <v>1010.7051505956196</v>
      </c>
      <c r="C261">
        <f>Data_inputs!B261*K_factor</f>
        <v>4061.4488788618619</v>
      </c>
      <c r="D261">
        <f>Data_inputs!C261*K_factor</f>
        <v>1909.3579239359544</v>
      </c>
      <c r="E261">
        <f t="shared" si="8"/>
        <v>2152.0909549259077</v>
      </c>
      <c r="F261">
        <f>Data_inputs!G261-Data_inputs!H261</f>
        <v>69.480527122221929</v>
      </c>
      <c r="G261">
        <f t="shared" si="9"/>
        <v>147.94464426652942</v>
      </c>
    </row>
    <row r="262" spans="1:7" x14ac:dyDescent="0.3">
      <c r="A262">
        <f>Data_inputs!A262</f>
        <v>259</v>
      </c>
      <c r="B262">
        <f>Data_inputs!B262-Data_inputs!C262</f>
        <v>-1.0048441306660152</v>
      </c>
      <c r="C262">
        <f>Data_inputs!B262*K_factor</f>
        <v>3258.2843174177956</v>
      </c>
      <c r="D262">
        <f>Data_inputs!C262*K_factor</f>
        <v>3260.4239285234107</v>
      </c>
      <c r="E262">
        <f t="shared" si="8"/>
        <v>-2.1396111056151312</v>
      </c>
      <c r="F262">
        <f>Data_inputs!G262-Data_inputs!H262</f>
        <v>439.46976561938163</v>
      </c>
      <c r="G262">
        <f t="shared" si="9"/>
        <v>935.76144041169857</v>
      </c>
    </row>
    <row r="263" spans="1:7" x14ac:dyDescent="0.3">
      <c r="A263">
        <f>Data_inputs!A263</f>
        <v>260</v>
      </c>
      <c r="B263">
        <f>Data_inputs!B263-Data_inputs!C263</f>
        <v>96.393356358462256</v>
      </c>
      <c r="C263">
        <f>Data_inputs!B263*K_factor</f>
        <v>1507.843127058587</v>
      </c>
      <c r="D263">
        <f>Data_inputs!C263*K_factor</f>
        <v>1302.5930892886743</v>
      </c>
      <c r="E263">
        <f t="shared" si="8"/>
        <v>205.25003776991275</v>
      </c>
      <c r="F263">
        <f>Data_inputs!G263-Data_inputs!H263</f>
        <v>104.94194653180136</v>
      </c>
      <c r="G263">
        <f t="shared" si="9"/>
        <v>223.45252103475994</v>
      </c>
    </row>
    <row r="264" spans="1:7" x14ac:dyDescent="0.3">
      <c r="A264">
        <f>Data_inputs!A264</f>
        <v>261</v>
      </c>
      <c r="B264">
        <f>Data_inputs!B264-Data_inputs!C264</f>
        <v>573.61564463077787</v>
      </c>
      <c r="C264">
        <f>Data_inputs!B264*K_factor</f>
        <v>3324.8244088396555</v>
      </c>
      <c r="D264">
        <f>Data_inputs!C264*K_factor</f>
        <v>2103.4266157380744</v>
      </c>
      <c r="E264">
        <f t="shared" si="8"/>
        <v>1221.3977931015811</v>
      </c>
      <c r="F264">
        <f>Data_inputs!G264-Data_inputs!H264</f>
        <v>603.88191284375989</v>
      </c>
      <c r="G264">
        <f t="shared" si="9"/>
        <v>1285.8436525316381</v>
      </c>
    </row>
    <row r="265" spans="1:7" x14ac:dyDescent="0.3">
      <c r="A265">
        <f>Data_inputs!A265</f>
        <v>262</v>
      </c>
      <c r="B265">
        <f>Data_inputs!B265-Data_inputs!C265</f>
        <v>366.26252480229778</v>
      </c>
      <c r="C265">
        <f>Data_inputs!B265*K_factor</f>
        <v>4753.4817051261607</v>
      </c>
      <c r="D265">
        <f>Data_inputs!C265*K_factor</f>
        <v>3973.6001874641229</v>
      </c>
      <c r="E265">
        <f t="shared" si="8"/>
        <v>779.88151766203782</v>
      </c>
      <c r="F265">
        <f>Data_inputs!G265-Data_inputs!H265</f>
        <v>939.42147337196457</v>
      </c>
      <c r="G265">
        <f t="shared" si="9"/>
        <v>2000.3068694322494</v>
      </c>
    </row>
    <row r="266" spans="1:7" x14ac:dyDescent="0.3">
      <c r="A266">
        <f>Data_inputs!A266</f>
        <v>263</v>
      </c>
      <c r="B266">
        <f>Data_inputs!B266-Data_inputs!C266</f>
        <v>1429.0235630654458</v>
      </c>
      <c r="C266">
        <f>Data_inputs!B266*K_factor</f>
        <v>5557.71428795254</v>
      </c>
      <c r="D266">
        <f>Data_inputs!C266*K_factor</f>
        <v>2514.8993951652837</v>
      </c>
      <c r="E266">
        <f t="shared" si="8"/>
        <v>3042.8148927872562</v>
      </c>
      <c r="F266">
        <f>Data_inputs!G266-Data_inputs!H266</f>
        <v>58.393202578040814</v>
      </c>
      <c r="G266">
        <f t="shared" si="9"/>
        <v>124.33644275316158</v>
      </c>
    </row>
    <row r="267" spans="1:7" x14ac:dyDescent="0.3">
      <c r="A267">
        <f>Data_inputs!A267</f>
        <v>264</v>
      </c>
      <c r="B267">
        <f>Data_inputs!B267-Data_inputs!C267</f>
        <v>313.11576954339898</v>
      </c>
      <c r="C267">
        <f>Data_inputs!B267*K_factor</f>
        <v>1711.4978436758461</v>
      </c>
      <c r="D267">
        <f>Data_inputs!C267*K_factor</f>
        <v>1044.7815267738251</v>
      </c>
      <c r="E267">
        <f t="shared" si="8"/>
        <v>666.71631690202094</v>
      </c>
      <c r="F267">
        <f>Data_inputs!G267-Data_inputs!H267</f>
        <v>298.48688685933212</v>
      </c>
      <c r="G267">
        <f t="shared" si="9"/>
        <v>635.56708798347881</v>
      </c>
    </row>
    <row r="268" spans="1:7" x14ac:dyDescent="0.3">
      <c r="A268">
        <f>Data_inputs!A268</f>
        <v>265</v>
      </c>
      <c r="B268">
        <f>Data_inputs!B268-Data_inputs!C268</f>
        <v>368.09580246974446</v>
      </c>
      <c r="C268">
        <f>Data_inputs!B268*K_factor</f>
        <v>1689.7262053136174</v>
      </c>
      <c r="D268">
        <f>Data_inputs!C268*K_factor</f>
        <v>905.94109590313019</v>
      </c>
      <c r="E268">
        <f t="shared" si="8"/>
        <v>783.78510941048717</v>
      </c>
      <c r="F268">
        <f>Data_inputs!G268-Data_inputs!H268</f>
        <v>309.51583128322682</v>
      </c>
      <c r="G268">
        <f t="shared" si="9"/>
        <v>659.05098091017146</v>
      </c>
    </row>
    <row r="269" spans="1:7" x14ac:dyDescent="0.3">
      <c r="A269">
        <f>Data_inputs!A269</f>
        <v>266</v>
      </c>
      <c r="B269">
        <f>Data_inputs!B269-Data_inputs!C269</f>
        <v>112.31319063341834</v>
      </c>
      <c r="C269">
        <f>Data_inputs!B269*K_factor</f>
        <v>1401.4075705670709</v>
      </c>
      <c r="D269">
        <f>Data_inputs!C269*K_factor</f>
        <v>1162.2594851550123</v>
      </c>
      <c r="E269">
        <f t="shared" si="8"/>
        <v>239.14808541205866</v>
      </c>
      <c r="F269">
        <f>Data_inputs!G269-Data_inputs!H269</f>
        <v>240.38212353733365</v>
      </c>
      <c r="G269">
        <f t="shared" si="9"/>
        <v>511.8448179330174</v>
      </c>
    </row>
    <row r="270" spans="1:7" x14ac:dyDescent="0.3">
      <c r="A270">
        <f>Data_inputs!A270</f>
        <v>267</v>
      </c>
      <c r="B270">
        <f>Data_inputs!B270-Data_inputs!C270</f>
        <v>462.87105061711395</v>
      </c>
      <c r="C270">
        <f>Data_inputs!B270*K_factor</f>
        <v>3789.7893016318085</v>
      </c>
      <c r="D270">
        <f>Data_inputs!C270*K_factor</f>
        <v>2804.1995866262937</v>
      </c>
      <c r="E270">
        <f t="shared" si="8"/>
        <v>985.58971500551479</v>
      </c>
      <c r="F270">
        <f>Data_inputs!G270-Data_inputs!H270</f>
        <v>803.797346530308</v>
      </c>
      <c r="G270">
        <f t="shared" si="9"/>
        <v>1711.522888788985</v>
      </c>
    </row>
    <row r="271" spans="1:7" x14ac:dyDescent="0.3">
      <c r="A271">
        <f>Data_inputs!A271</f>
        <v>268</v>
      </c>
      <c r="B271">
        <f>Data_inputs!B271-Data_inputs!C271</f>
        <v>98.95126637523947</v>
      </c>
      <c r="C271">
        <f>Data_inputs!B271*K_factor</f>
        <v>1739.2229530096806</v>
      </c>
      <c r="D271">
        <f>Data_inputs!C271*K_factor</f>
        <v>1528.526366355183</v>
      </c>
      <c r="E271">
        <f t="shared" si="8"/>
        <v>210.69658665449765</v>
      </c>
      <c r="F271">
        <f>Data_inputs!G271-Data_inputs!H271</f>
        <v>194.27091862051907</v>
      </c>
      <c r="G271">
        <f t="shared" si="9"/>
        <v>413.66038999799486</v>
      </c>
    </row>
    <row r="272" spans="1:7" x14ac:dyDescent="0.3">
      <c r="A272">
        <f>Data_inputs!A272</f>
        <v>269</v>
      </c>
      <c r="B272">
        <f>Data_inputs!B272-Data_inputs!C272</f>
        <v>808.10838396789495</v>
      </c>
      <c r="C272">
        <f>Data_inputs!B272*K_factor</f>
        <v>3450.1761941023224</v>
      </c>
      <c r="D272">
        <f>Data_inputs!C272*K_factor</f>
        <v>1729.47382832115</v>
      </c>
      <c r="E272">
        <f t="shared" si="8"/>
        <v>1720.7023657811724</v>
      </c>
      <c r="F272">
        <f>Data_inputs!G272-Data_inputs!H272</f>
        <v>692.33783384752087</v>
      </c>
      <c r="G272">
        <f t="shared" si="9"/>
        <v>1474.1925368621971</v>
      </c>
    </row>
    <row r="273" spans="1:7" x14ac:dyDescent="0.3">
      <c r="A273">
        <f>Data_inputs!A273</f>
        <v>270</v>
      </c>
      <c r="B273">
        <f>Data_inputs!B273-Data_inputs!C273</f>
        <v>211.19789371207492</v>
      </c>
      <c r="C273">
        <f>Data_inputs!B273*K_factor</f>
        <v>1938.7083246827342</v>
      </c>
      <c r="D273">
        <f>Data_inputs!C273*K_factor</f>
        <v>1489.0053856116238</v>
      </c>
      <c r="E273">
        <f t="shared" si="8"/>
        <v>449.70293907111045</v>
      </c>
      <c r="F273">
        <f>Data_inputs!G273-Data_inputs!H273</f>
        <v>270.95646919880505</v>
      </c>
      <c r="G273">
        <f t="shared" si="9"/>
        <v>576.94666560051451</v>
      </c>
    </row>
    <row r="274" spans="1:7" x14ac:dyDescent="0.3">
      <c r="A274">
        <f>Data_inputs!A274</f>
        <v>271</v>
      </c>
      <c r="B274">
        <f>Data_inputs!B274-Data_inputs!C274</f>
        <v>446.26138792449285</v>
      </c>
      <c r="C274">
        <f>Data_inputs!B274*K_factor</f>
        <v>2650.9328163984292</v>
      </c>
      <c r="D274">
        <f>Data_inputs!C274*K_factor</f>
        <v>1700.7099982807897</v>
      </c>
      <c r="E274">
        <f t="shared" si="8"/>
        <v>950.22281811763946</v>
      </c>
      <c r="F274">
        <f>Data_inputs!G274-Data_inputs!H274</f>
        <v>513.59900166087573</v>
      </c>
      <c r="G274">
        <f t="shared" si="9"/>
        <v>1093.604564379606</v>
      </c>
    </row>
    <row r="275" spans="1:7" x14ac:dyDescent="0.3">
      <c r="A275">
        <f>Data_inputs!A275</f>
        <v>272</v>
      </c>
      <c r="B275">
        <f>Data_inputs!B275-Data_inputs!C275</f>
        <v>484.3535627443037</v>
      </c>
      <c r="C275">
        <f>Data_inputs!B275*K_factor</f>
        <v>2053.2339771428678</v>
      </c>
      <c r="D275">
        <f>Data_inputs!C275*K_factor</f>
        <v>1021.9016239299925</v>
      </c>
      <c r="E275">
        <f t="shared" si="8"/>
        <v>1031.3323532128752</v>
      </c>
      <c r="F275">
        <f>Data_inputs!G275-Data_inputs!H275</f>
        <v>363.49350504424501</v>
      </c>
      <c r="G275">
        <f t="shared" si="9"/>
        <v>773.9854535410584</v>
      </c>
    </row>
    <row r="276" spans="1:7" x14ac:dyDescent="0.3">
      <c r="A276">
        <f>Data_inputs!A276</f>
        <v>273</v>
      </c>
      <c r="B276">
        <f>Data_inputs!B276-Data_inputs!C276</f>
        <v>347.22958901618335</v>
      </c>
      <c r="C276">
        <f>Data_inputs!B276*K_factor</f>
        <v>2015.5439804426965</v>
      </c>
      <c r="D276">
        <f>Data_inputs!C276*K_factor</f>
        <v>1276.1892266215705</v>
      </c>
      <c r="E276">
        <f t="shared" si="8"/>
        <v>739.354753821126</v>
      </c>
      <c r="F276">
        <f>Data_inputs!G276-Data_inputs!H276</f>
        <v>196.94659625353506</v>
      </c>
      <c r="G276">
        <f t="shared" si="9"/>
        <v>419.35770105742483</v>
      </c>
    </row>
    <row r="277" spans="1:7" x14ac:dyDescent="0.3">
      <c r="A277">
        <f>Data_inputs!A277</f>
        <v>274</v>
      </c>
      <c r="B277">
        <f>Data_inputs!B277-Data_inputs!C277</f>
        <v>13.51636538075843</v>
      </c>
      <c r="C277">
        <f>Data_inputs!B277*K_factor</f>
        <v>1402.4938126699731</v>
      </c>
      <c r="D277">
        <f>Data_inputs!C277*K_factor</f>
        <v>1373.7134629683201</v>
      </c>
      <c r="E277">
        <f t="shared" si="8"/>
        <v>28.780349701652995</v>
      </c>
      <c r="F277">
        <f>Data_inputs!G277-Data_inputs!H277</f>
        <v>310.33246356509903</v>
      </c>
      <c r="G277">
        <f t="shared" si="9"/>
        <v>660.78983318205508</v>
      </c>
    </row>
    <row r="278" spans="1:7" x14ac:dyDescent="0.3">
      <c r="A278">
        <f>Data_inputs!A278</f>
        <v>275</v>
      </c>
      <c r="B278">
        <f>Data_inputs!B278-Data_inputs!C278</f>
        <v>905.54086576911254</v>
      </c>
      <c r="C278">
        <f>Data_inputs!B278*K_factor</f>
        <v>3657.3385954350283</v>
      </c>
      <c r="D278">
        <f>Data_inputs!C278*K_factor</f>
        <v>1729.173585699964</v>
      </c>
      <c r="E278">
        <f t="shared" si="8"/>
        <v>1928.1650097350644</v>
      </c>
      <c r="F278">
        <f>Data_inputs!G278-Data_inputs!H278</f>
        <v>57.688737546618995</v>
      </c>
      <c r="G278">
        <f t="shared" si="9"/>
        <v>122.83642781676687</v>
      </c>
    </row>
    <row r="279" spans="1:7" x14ac:dyDescent="0.3">
      <c r="A279">
        <f>Data_inputs!A279</f>
        <v>276</v>
      </c>
      <c r="B279">
        <f>Data_inputs!B279-Data_inputs!C279</f>
        <v>256.30320344391339</v>
      </c>
      <c r="C279">
        <f>Data_inputs!B279*K_factor</f>
        <v>1370.4472677846481</v>
      </c>
      <c r="D279">
        <f>Data_inputs!C279*K_factor</f>
        <v>824.70174989040981</v>
      </c>
      <c r="E279">
        <f t="shared" si="8"/>
        <v>545.74551789423833</v>
      </c>
      <c r="F279">
        <f>Data_inputs!G279-Data_inputs!H279</f>
        <v>129.38995680334187</v>
      </c>
      <c r="G279">
        <f t="shared" si="9"/>
        <v>275.50958410633115</v>
      </c>
    </row>
    <row r="280" spans="1:7" x14ac:dyDescent="0.3">
      <c r="A280">
        <f>Data_inputs!A280</f>
        <v>277</v>
      </c>
      <c r="B280">
        <f>Data_inputs!B280-Data_inputs!C280</f>
        <v>1003.086831868993</v>
      </c>
      <c r="C280">
        <f>Data_inputs!B280*K_factor</f>
        <v>4256.0881231616904</v>
      </c>
      <c r="D280">
        <f>Data_inputs!C280*K_factor</f>
        <v>2120.2188277510768</v>
      </c>
      <c r="E280">
        <f t="shared" si="8"/>
        <v>2135.8692954106136</v>
      </c>
      <c r="F280">
        <f>Data_inputs!G280-Data_inputs!H280</f>
        <v>73.183081768972215</v>
      </c>
      <c r="G280">
        <f t="shared" si="9"/>
        <v>155.82848097270869</v>
      </c>
    </row>
    <row r="281" spans="1:7" x14ac:dyDescent="0.3">
      <c r="A281">
        <f>Data_inputs!A281</f>
        <v>278</v>
      </c>
      <c r="B281">
        <f>Data_inputs!B281-Data_inputs!C281</f>
        <v>449.24985739631632</v>
      </c>
      <c r="C281">
        <f>Data_inputs!B281*K_factor</f>
        <v>2507.2758789009613</v>
      </c>
      <c r="D281">
        <f>Data_inputs!C281*K_factor</f>
        <v>1550.6897231515773</v>
      </c>
      <c r="E281">
        <f t="shared" si="8"/>
        <v>956.58615574938403</v>
      </c>
      <c r="F281">
        <f>Data_inputs!G281-Data_inputs!H281</f>
        <v>333.5062542681319</v>
      </c>
      <c r="G281">
        <f t="shared" si="9"/>
        <v>710.13370496696973</v>
      </c>
    </row>
    <row r="282" spans="1:7" x14ac:dyDescent="0.3">
      <c r="A282">
        <f>Data_inputs!A282</f>
        <v>279</v>
      </c>
      <c r="B282">
        <f>Data_inputs!B282-Data_inputs!C282</f>
        <v>664.39357200596305</v>
      </c>
      <c r="C282">
        <f>Data_inputs!B282*K_factor</f>
        <v>3824.8219206006302</v>
      </c>
      <c r="D282">
        <f>Data_inputs!C282*K_factor</f>
        <v>2410.131003093848</v>
      </c>
      <c r="E282">
        <f t="shared" si="8"/>
        <v>1414.6909175067822</v>
      </c>
      <c r="F282">
        <f>Data_inputs!G282-Data_inputs!H282</f>
        <v>632.68028355911429</v>
      </c>
      <c r="G282">
        <f t="shared" si="9"/>
        <v>1347.1639229355178</v>
      </c>
    </row>
    <row r="283" spans="1:7" x14ac:dyDescent="0.3">
      <c r="A283">
        <f>Data_inputs!A283</f>
        <v>280</v>
      </c>
      <c r="B283">
        <f>Data_inputs!B283-Data_inputs!C283</f>
        <v>552.80974971279261</v>
      </c>
      <c r="C283">
        <f>Data_inputs!B283*K_factor</f>
        <v>2615.6640813614963</v>
      </c>
      <c r="D283">
        <f>Data_inputs!C283*K_factor</f>
        <v>1438.5682078016807</v>
      </c>
      <c r="E283">
        <f t="shared" si="8"/>
        <v>1177.0958735598156</v>
      </c>
      <c r="F283">
        <f>Data_inputs!G283-Data_inputs!H283</f>
        <v>355.18259172184003</v>
      </c>
      <c r="G283">
        <f t="shared" si="9"/>
        <v>756.28905476661794</v>
      </c>
    </row>
    <row r="284" spans="1:7" x14ac:dyDescent="0.3">
      <c r="A284">
        <f>Data_inputs!A284</f>
        <v>281</v>
      </c>
      <c r="B284">
        <f>Data_inputs!B284-Data_inputs!C284</f>
        <v>497.95819452069804</v>
      </c>
      <c r="C284">
        <f>Data_inputs!B284*K_factor</f>
        <v>2279.045186077522</v>
      </c>
      <c r="D284">
        <f>Data_inputs!C284*K_factor</f>
        <v>1218.744537834368</v>
      </c>
      <c r="E284">
        <f t="shared" si="8"/>
        <v>1060.300648243154</v>
      </c>
      <c r="F284">
        <f>Data_inputs!G284-Data_inputs!H284</f>
        <v>314.87410774772889</v>
      </c>
      <c r="G284">
        <f t="shared" si="9"/>
        <v>670.46034031281386</v>
      </c>
    </row>
    <row r="285" spans="1:7" x14ac:dyDescent="0.3">
      <c r="A285">
        <f>Data_inputs!A285</f>
        <v>282</v>
      </c>
      <c r="B285">
        <f>Data_inputs!B285-Data_inputs!C285</f>
        <v>121.33538203381141</v>
      </c>
      <c r="C285">
        <f>Data_inputs!B285*K_factor</f>
        <v>1133.0855061188765</v>
      </c>
      <c r="D285">
        <f>Data_inputs!C285*K_factor</f>
        <v>874.72649999967223</v>
      </c>
      <c r="E285">
        <f t="shared" si="8"/>
        <v>258.35900611920431</v>
      </c>
      <c r="F285">
        <f>Data_inputs!G285-Data_inputs!H285</f>
        <v>148.47565908494096</v>
      </c>
      <c r="G285">
        <f t="shared" si="9"/>
        <v>316.14870346219141</v>
      </c>
    </row>
    <row r="286" spans="1:7" x14ac:dyDescent="0.3">
      <c r="A286">
        <f>Data_inputs!A286</f>
        <v>283</v>
      </c>
      <c r="B286">
        <f>Data_inputs!B286-Data_inputs!C286</f>
        <v>827.93631041382162</v>
      </c>
      <c r="C286">
        <f>Data_inputs!B286*K_factor</f>
        <v>3744.9981324805331</v>
      </c>
      <c r="D286">
        <f>Data_inputs!C286*K_factor</f>
        <v>1982.0762320169972</v>
      </c>
      <c r="E286">
        <f t="shared" si="8"/>
        <v>1762.9219004635358</v>
      </c>
      <c r="F286">
        <f>Data_inputs!G286-Data_inputs!H286</f>
        <v>40.573910039606972</v>
      </c>
      <c r="G286">
        <f t="shared" si="9"/>
        <v>86.393885250072927</v>
      </c>
    </row>
    <row r="287" spans="1:7" x14ac:dyDescent="0.3">
      <c r="A287">
        <f>Data_inputs!A287</f>
        <v>284</v>
      </c>
      <c r="B287">
        <f>Data_inputs!B287-Data_inputs!C287</f>
        <v>1048.4990350288469</v>
      </c>
      <c r="C287">
        <f>Data_inputs!B287*K_factor</f>
        <v>4219.8696676658719</v>
      </c>
      <c r="D287">
        <f>Data_inputs!C287*K_factor</f>
        <v>1987.3043263253592</v>
      </c>
      <c r="E287">
        <f t="shared" si="8"/>
        <v>2232.5653413405125</v>
      </c>
      <c r="F287">
        <f>Data_inputs!G287-Data_inputs!H287</f>
        <v>0.19389866340293338</v>
      </c>
      <c r="G287">
        <f t="shared" si="9"/>
        <v>0.41286774826047329</v>
      </c>
    </row>
    <row r="288" spans="1:7" x14ac:dyDescent="0.3">
      <c r="A288">
        <f>Data_inputs!A288</f>
        <v>285</v>
      </c>
      <c r="B288">
        <f>Data_inputs!B288-Data_inputs!C288</f>
        <v>87.771692728765288</v>
      </c>
      <c r="C288">
        <f>Data_inputs!B288*K_factor</f>
        <v>1527.5891640678892</v>
      </c>
      <c r="D288">
        <f>Data_inputs!C288*K_factor</f>
        <v>1340.6972046187905</v>
      </c>
      <c r="E288">
        <f t="shared" si="8"/>
        <v>186.89195944909875</v>
      </c>
      <c r="F288">
        <f>Data_inputs!G288-Data_inputs!H288</f>
        <v>197.98927457120112</v>
      </c>
      <c r="G288">
        <f t="shared" si="9"/>
        <v>421.57787236556959</v>
      </c>
    </row>
    <row r="289" spans="1:7" x14ac:dyDescent="0.3">
      <c r="A289">
        <f>Data_inputs!A289</f>
        <v>286</v>
      </c>
      <c r="B289">
        <f>Data_inputs!B289-Data_inputs!C289</f>
        <v>351.32061321444928</v>
      </c>
      <c r="C289">
        <f>Data_inputs!B289*K_factor</f>
        <v>2009.5932414778795</v>
      </c>
      <c r="D289">
        <f>Data_inputs!C289*K_factor</f>
        <v>1261.5274840883214</v>
      </c>
      <c r="E289">
        <f t="shared" si="8"/>
        <v>748.06575738955803</v>
      </c>
      <c r="F289">
        <f>Data_inputs!G289-Data_inputs!H289</f>
        <v>191.98330810492394</v>
      </c>
      <c r="G289">
        <f t="shared" si="9"/>
        <v>408.78938889930214</v>
      </c>
    </row>
    <row r="290" spans="1:7" x14ac:dyDescent="0.3">
      <c r="A290">
        <f>Data_inputs!A290</f>
        <v>287</v>
      </c>
      <c r="B290">
        <f>Data_inputs!B290-Data_inputs!C290</f>
        <v>544.01422661733898</v>
      </c>
      <c r="C290">
        <f>Data_inputs!B290*K_factor</f>
        <v>3307.6436836861139</v>
      </c>
      <c r="D290">
        <f>Data_inputs!C290*K_factor</f>
        <v>2149.2760868016603</v>
      </c>
      <c r="E290">
        <f t="shared" si="8"/>
        <v>1158.3675968844536</v>
      </c>
      <c r="F290">
        <f>Data_inputs!G290-Data_inputs!H290</f>
        <v>63.432942449647044</v>
      </c>
      <c r="G290">
        <f t="shared" si="9"/>
        <v>135.06754329862883</v>
      </c>
    </row>
    <row r="291" spans="1:7" x14ac:dyDescent="0.3">
      <c r="A291">
        <f>Data_inputs!A291</f>
        <v>288</v>
      </c>
      <c r="B291">
        <f>Data_inputs!B291-Data_inputs!C291</f>
        <v>1197.4173931682792</v>
      </c>
      <c r="C291">
        <f>Data_inputs!B291*K_factor</f>
        <v>4257.9167792998605</v>
      </c>
      <c r="D291">
        <f>Data_inputs!C291*K_factor</f>
        <v>1708.2600969432035</v>
      </c>
      <c r="E291">
        <f t="shared" si="8"/>
        <v>2549.6566823566573</v>
      </c>
      <c r="F291">
        <f>Data_inputs!G291-Data_inputs!H291</f>
        <v>158.06556722332402</v>
      </c>
      <c r="G291">
        <f t="shared" si="9"/>
        <v>336.56846144108579</v>
      </c>
    </row>
    <row r="292" spans="1:7" x14ac:dyDescent="0.3">
      <c r="A292">
        <f>Data_inputs!A292</f>
        <v>289</v>
      </c>
      <c r="B292">
        <f>Data_inputs!B292-Data_inputs!C292</f>
        <v>318.61232907014943</v>
      </c>
      <c r="C292">
        <f>Data_inputs!B292*K_factor</f>
        <v>1759.6479866716936</v>
      </c>
      <c r="D292">
        <f>Data_inputs!C292*K_factor</f>
        <v>1081.2278647244916</v>
      </c>
      <c r="E292">
        <f t="shared" si="8"/>
        <v>678.42012194720201</v>
      </c>
      <c r="F292">
        <f>Data_inputs!G292-Data_inputs!H292</f>
        <v>172.77993909173892</v>
      </c>
      <c r="G292">
        <f t="shared" si="9"/>
        <v>367.89972218193628</v>
      </c>
    </row>
    <row r="293" spans="1:7" x14ac:dyDescent="0.3">
      <c r="A293">
        <f>Data_inputs!A293</f>
        <v>290</v>
      </c>
      <c r="B293">
        <f>Data_inputs!B293-Data_inputs!C293</f>
        <v>526.73604263038601</v>
      </c>
      <c r="C293">
        <f>Data_inputs!B293*K_factor</f>
        <v>2350.8355048503195</v>
      </c>
      <c r="D293">
        <f>Data_inputs!C293*K_factor</f>
        <v>1229.2582849160119</v>
      </c>
      <c r="E293">
        <f t="shared" si="8"/>
        <v>1121.5772199343075</v>
      </c>
      <c r="F293">
        <f>Data_inputs!G293-Data_inputs!H293</f>
        <v>379.55811450902002</v>
      </c>
      <c r="G293">
        <f t="shared" si="9"/>
        <v>808.19177049035409</v>
      </c>
    </row>
    <row r="294" spans="1:7" x14ac:dyDescent="0.3">
      <c r="A294">
        <f>Data_inputs!A294</f>
        <v>291</v>
      </c>
      <c r="B294">
        <f>Data_inputs!B294-Data_inputs!C294</f>
        <v>355.78628162347786</v>
      </c>
      <c r="C294">
        <f>Data_inputs!B294*K_factor</f>
        <v>2312.7699060362179</v>
      </c>
      <c r="D294">
        <f>Data_inputs!C294*K_factor</f>
        <v>1555.1954164658598</v>
      </c>
      <c r="E294">
        <f t="shared" si="8"/>
        <v>757.57448957035808</v>
      </c>
      <c r="F294">
        <f>Data_inputs!G294-Data_inputs!H294</f>
        <v>236.27075771452428</v>
      </c>
      <c r="G294">
        <f t="shared" si="9"/>
        <v>503.09050101433411</v>
      </c>
    </row>
    <row r="295" spans="1:7" x14ac:dyDescent="0.3">
      <c r="A295">
        <f>Data_inputs!A295</f>
        <v>292</v>
      </c>
      <c r="B295">
        <f>Data_inputs!B295-Data_inputs!C295</f>
        <v>125.92102350645393</v>
      </c>
      <c r="C295">
        <f>Data_inputs!B295*K_factor</f>
        <v>1511.6981945104044</v>
      </c>
      <c r="D295">
        <f>Data_inputs!C295*K_factor</f>
        <v>1243.5749979841448</v>
      </c>
      <c r="E295">
        <f t="shared" si="8"/>
        <v>268.12319652625956</v>
      </c>
      <c r="F295">
        <f>Data_inputs!G295-Data_inputs!H295</f>
        <v>220.59630087203504</v>
      </c>
      <c r="G295">
        <f t="shared" si="9"/>
        <v>469.71493468401667</v>
      </c>
    </row>
    <row r="296" spans="1:7" x14ac:dyDescent="0.3">
      <c r="A296">
        <f>Data_inputs!A296</f>
        <v>293</v>
      </c>
      <c r="B296">
        <f>Data_inputs!B296-Data_inputs!C296</f>
        <v>206.12834952075832</v>
      </c>
      <c r="C296">
        <f>Data_inputs!B296*K_factor</f>
        <v>1534.1331105431038</v>
      </c>
      <c r="D296">
        <f>Data_inputs!C296*K_factor</f>
        <v>1095.2247342515536</v>
      </c>
      <c r="E296">
        <f t="shared" si="8"/>
        <v>438.90837629155021</v>
      </c>
      <c r="F296">
        <f>Data_inputs!G296-Data_inputs!H296</f>
        <v>193.51271793896399</v>
      </c>
      <c r="G296">
        <f t="shared" si="9"/>
        <v>412.04595592903644</v>
      </c>
    </row>
    <row r="297" spans="1:7" x14ac:dyDescent="0.3">
      <c r="A297">
        <f>Data_inputs!A297</f>
        <v>294</v>
      </c>
      <c r="B297">
        <f>Data_inputs!B297-Data_inputs!C297</f>
        <v>264.05631552191142</v>
      </c>
      <c r="C297">
        <f>Data_inputs!B297*K_factor</f>
        <v>1635.8480086581746</v>
      </c>
      <c r="D297">
        <f>Data_inputs!C297*K_factor</f>
        <v>1073.5938162353127</v>
      </c>
      <c r="E297">
        <f t="shared" si="8"/>
        <v>562.25419242286193</v>
      </c>
      <c r="F297">
        <f>Data_inputs!G297-Data_inputs!H297</f>
        <v>329.14119670164496</v>
      </c>
      <c r="G297">
        <f t="shared" si="9"/>
        <v>700.83920310257201</v>
      </c>
    </row>
    <row r="298" spans="1:7" x14ac:dyDescent="0.3">
      <c r="A298">
        <f>Data_inputs!A298</f>
        <v>295</v>
      </c>
      <c r="B298">
        <f>Data_inputs!B298-Data_inputs!C298</f>
        <v>218.21128961010152</v>
      </c>
      <c r="C298">
        <f>Data_inputs!B298*K_factor</f>
        <v>1787.2990056875867</v>
      </c>
      <c r="D298">
        <f>Data_inputs!C298*K_factor</f>
        <v>1322.6624671720065</v>
      </c>
      <c r="E298">
        <f t="shared" si="8"/>
        <v>464.63653851558024</v>
      </c>
      <c r="F298">
        <f>Data_inputs!G298-Data_inputs!H298</f>
        <v>257.54767522527186</v>
      </c>
      <c r="G298">
        <f t="shared" si="9"/>
        <v>548.3953673213872</v>
      </c>
    </row>
    <row r="299" spans="1:7" x14ac:dyDescent="0.3">
      <c r="A299">
        <f>Data_inputs!A299</f>
        <v>296</v>
      </c>
      <c r="B299">
        <f>Data_inputs!B299-Data_inputs!C299</f>
        <v>515.19786124266454</v>
      </c>
      <c r="C299">
        <f>Data_inputs!B299*K_factor</f>
        <v>2386.3883549672869</v>
      </c>
      <c r="D299">
        <f>Data_inputs!C299*K_factor</f>
        <v>1289.3793444520927</v>
      </c>
      <c r="E299">
        <f t="shared" si="8"/>
        <v>1097.0090105151942</v>
      </c>
      <c r="F299">
        <f>Data_inputs!G299-Data_inputs!H299</f>
        <v>334.18141365537281</v>
      </c>
      <c r="G299">
        <f t="shared" si="9"/>
        <v>711.57131949733821</v>
      </c>
    </row>
    <row r="300" spans="1:7" x14ac:dyDescent="0.3">
      <c r="A300">
        <f>Data_inputs!A300</f>
        <v>297</v>
      </c>
      <c r="B300">
        <f>Data_inputs!B300-Data_inputs!C300</f>
        <v>408.79673545760056</v>
      </c>
      <c r="C300">
        <f>Data_inputs!B300*K_factor</f>
        <v>1955.3472563618934</v>
      </c>
      <c r="D300">
        <f>Data_inputs!C300*K_factor</f>
        <v>1084.8977921802928</v>
      </c>
      <c r="E300">
        <f t="shared" si="8"/>
        <v>870.44946418160066</v>
      </c>
      <c r="F300">
        <f>Data_inputs!G300-Data_inputs!H300</f>
        <v>339.84134390492773</v>
      </c>
      <c r="G300">
        <f t="shared" si="9"/>
        <v>723.62298925325115</v>
      </c>
    </row>
    <row r="301" spans="1:7" x14ac:dyDescent="0.3">
      <c r="A301">
        <f>Data_inputs!A301</f>
        <v>298</v>
      </c>
      <c r="B301">
        <f>Data_inputs!B301-Data_inputs!C301</f>
        <v>538.59631467357633</v>
      </c>
      <c r="C301">
        <f>Data_inputs!B301*K_factor</f>
        <v>3009.735031560821</v>
      </c>
      <c r="D301">
        <f>Data_inputs!C301*K_factor</f>
        <v>1862.9037756971734</v>
      </c>
      <c r="E301">
        <f t="shared" si="8"/>
        <v>1146.8312558636476</v>
      </c>
      <c r="F301">
        <f>Data_inputs!G301-Data_inputs!H301</f>
        <v>117.74032040329485</v>
      </c>
      <c r="G301">
        <f t="shared" si="9"/>
        <v>250.7040539178858</v>
      </c>
    </row>
    <row r="302" spans="1:7" x14ac:dyDescent="0.3">
      <c r="A302">
        <f>Data_inputs!A302</f>
        <v>299</v>
      </c>
      <c r="B302">
        <f>Data_inputs!B302-Data_inputs!C302</f>
        <v>104.30053284849191</v>
      </c>
      <c r="C302">
        <f>Data_inputs!B302*K_factor</f>
        <v>3127.0874783362842</v>
      </c>
      <c r="D302">
        <f>Data_inputs!C302*K_factor</f>
        <v>2905.0007172221131</v>
      </c>
      <c r="E302">
        <f t="shared" si="8"/>
        <v>222.08676111417117</v>
      </c>
      <c r="F302">
        <f>Data_inputs!G302-Data_inputs!H302</f>
        <v>-153.64039837026394</v>
      </c>
      <c r="G302">
        <f t="shared" si="9"/>
        <v>-327.14596482367148</v>
      </c>
    </row>
    <row r="303" spans="1:7" x14ac:dyDescent="0.3">
      <c r="A303">
        <f>Data_inputs!A303</f>
        <v>300</v>
      </c>
      <c r="B303">
        <f>Data_inputs!B303-Data_inputs!C303</f>
        <v>389.09898447712362</v>
      </c>
      <c r="C303">
        <f>Data_inputs!B303*K_factor</f>
        <v>2278.6762314210564</v>
      </c>
      <c r="D303">
        <f>Data_inputs!C303*K_factor</f>
        <v>1450.1691197568891</v>
      </c>
      <c r="E303">
        <f t="shared" si="8"/>
        <v>828.50711166416727</v>
      </c>
      <c r="F303">
        <f>Data_inputs!G303-Data_inputs!H303</f>
        <v>443.00909103701906</v>
      </c>
      <c r="G303">
        <f t="shared" si="9"/>
        <v>943.29771368917034</v>
      </c>
    </row>
    <row r="304" spans="1:7" x14ac:dyDescent="0.3">
      <c r="A304">
        <f>Data_inputs!A304</f>
        <v>301</v>
      </c>
      <c r="B304">
        <f>Data_inputs!B304-Data_inputs!C304</f>
        <v>361.16901859666484</v>
      </c>
      <c r="C304">
        <f>Data_inputs!B304*K_factor</f>
        <v>2085.6873620725873</v>
      </c>
      <c r="D304">
        <f>Data_inputs!C304*K_factor</f>
        <v>1316.6514294236872</v>
      </c>
      <c r="E304">
        <f t="shared" si="8"/>
        <v>769.03593264890014</v>
      </c>
      <c r="F304">
        <f>Data_inputs!G304-Data_inputs!H304</f>
        <v>179.86441062587892</v>
      </c>
      <c r="G304">
        <f t="shared" si="9"/>
        <v>382.98466273068868</v>
      </c>
    </row>
    <row r="305" spans="1:7" x14ac:dyDescent="0.3">
      <c r="A305">
        <f>Data_inputs!A305</f>
        <v>302</v>
      </c>
      <c r="B305">
        <f>Data_inputs!B305-Data_inputs!C305</f>
        <v>24.059508388007885</v>
      </c>
      <c r="C305">
        <f>Data_inputs!B305*K_factor</f>
        <v>1339.4170521579078</v>
      </c>
      <c r="D305">
        <f>Data_inputs!C305*K_factor</f>
        <v>1288.1872247930405</v>
      </c>
      <c r="E305">
        <f t="shared" si="8"/>
        <v>51.229827364867333</v>
      </c>
      <c r="F305">
        <f>Data_inputs!G305-Data_inputs!H305</f>
        <v>120.68834441866898</v>
      </c>
      <c r="G305">
        <f t="shared" si="9"/>
        <v>256.98127118016271</v>
      </c>
    </row>
    <row r="306" spans="1:7" x14ac:dyDescent="0.3">
      <c r="A306">
        <f>Data_inputs!A306</f>
        <v>303</v>
      </c>
      <c r="B306">
        <f>Data_inputs!B306-Data_inputs!C306</f>
        <v>419.11140757795312</v>
      </c>
      <c r="C306">
        <f>Data_inputs!B306*K_factor</f>
        <v>1913.0738681283342</v>
      </c>
      <c r="D306">
        <f>Data_inputs!C306*K_factor</f>
        <v>1020.6614085467838</v>
      </c>
      <c r="E306">
        <f t="shared" si="8"/>
        <v>892.41245958155037</v>
      </c>
      <c r="F306">
        <f>Data_inputs!G306-Data_inputs!H306</f>
        <v>304.69102067626704</v>
      </c>
      <c r="G306">
        <f t="shared" si="9"/>
        <v>648.77752849890226</v>
      </c>
    </row>
    <row r="307" spans="1:7" x14ac:dyDescent="0.3">
      <c r="A307">
        <f>Data_inputs!A307</f>
        <v>304</v>
      </c>
      <c r="B307">
        <f>Data_inputs!B307-Data_inputs!C307</f>
        <v>417.46587579760421</v>
      </c>
      <c r="C307">
        <f>Data_inputs!B307*K_factor</f>
        <v>2279.4845883359812</v>
      </c>
      <c r="D307">
        <f>Data_inputs!C307*K_factor</f>
        <v>1390.5759538397638</v>
      </c>
      <c r="E307">
        <f t="shared" si="8"/>
        <v>888.90863449621747</v>
      </c>
      <c r="F307">
        <f>Data_inputs!G307-Data_inputs!H307</f>
        <v>364.90130744825979</v>
      </c>
      <c r="G307">
        <f t="shared" si="9"/>
        <v>776.98308229383338</v>
      </c>
    </row>
    <row r="308" spans="1:7" x14ac:dyDescent="0.3">
      <c r="A308">
        <f>Data_inputs!A308</f>
        <v>305</v>
      </c>
      <c r="B308">
        <f>Data_inputs!B308-Data_inputs!C308</f>
        <v>284.61543258954043</v>
      </c>
      <c r="C308">
        <f>Data_inputs!B308*K_factor</f>
        <v>1913.4233521160932</v>
      </c>
      <c r="D308">
        <f>Data_inputs!C308*K_factor</f>
        <v>1307.3927033682257</v>
      </c>
      <c r="E308">
        <f t="shared" si="8"/>
        <v>606.03064874786742</v>
      </c>
      <c r="F308">
        <f>Data_inputs!G308-Data_inputs!H308</f>
        <v>258.81471975306317</v>
      </c>
      <c r="G308">
        <f t="shared" si="9"/>
        <v>551.09328081885099</v>
      </c>
    </row>
    <row r="309" spans="1:7" x14ac:dyDescent="0.3">
      <c r="A309">
        <f>Data_inputs!A309</f>
        <v>306</v>
      </c>
      <c r="B309">
        <f>Data_inputs!B309-Data_inputs!C309</f>
        <v>1232.7639808591452</v>
      </c>
      <c r="C309">
        <f>Data_inputs!B309*K_factor</f>
        <v>4804.9675073559638</v>
      </c>
      <c r="D309">
        <f>Data_inputs!C309*K_factor</f>
        <v>2180.0474590095519</v>
      </c>
      <c r="E309">
        <f t="shared" si="8"/>
        <v>2624.9200483464119</v>
      </c>
      <c r="F309">
        <f>Data_inputs!G309-Data_inputs!H309</f>
        <v>17.956598777575891</v>
      </c>
      <c r="G309">
        <f t="shared" si="9"/>
        <v>38.234923199591108</v>
      </c>
    </row>
    <row r="310" spans="1:7" x14ac:dyDescent="0.3">
      <c r="A310">
        <f>Data_inputs!A310</f>
        <v>307</v>
      </c>
      <c r="B310">
        <f>Data_inputs!B310-Data_inputs!C310</f>
        <v>224.98304310641015</v>
      </c>
      <c r="C310">
        <f>Data_inputs!B310*K_factor</f>
        <v>1147.5132633637031</v>
      </c>
      <c r="D310">
        <f>Data_inputs!C310*K_factor</f>
        <v>668.45765372752396</v>
      </c>
      <c r="E310">
        <f t="shared" si="8"/>
        <v>479.05560963617916</v>
      </c>
      <c r="F310">
        <f>Data_inputs!G310-Data_inputs!H310</f>
        <v>77.081696867273081</v>
      </c>
      <c r="G310">
        <f t="shared" si="9"/>
        <v>164.12978851511753</v>
      </c>
    </row>
    <row r="311" spans="1:7" x14ac:dyDescent="0.3">
      <c r="A311">
        <f>Data_inputs!A311</f>
        <v>308</v>
      </c>
      <c r="B311">
        <f>Data_inputs!B311-Data_inputs!C311</f>
        <v>317.28508406224068</v>
      </c>
      <c r="C311">
        <f>Data_inputs!B311*K_factor</f>
        <v>2301.2581633557261</v>
      </c>
      <c r="D311">
        <f>Data_inputs!C311*K_factor</f>
        <v>1625.6641395785073</v>
      </c>
      <c r="E311">
        <f t="shared" si="8"/>
        <v>675.59402377721881</v>
      </c>
      <c r="F311">
        <f>Data_inputs!G311-Data_inputs!H311</f>
        <v>251.58593503951715</v>
      </c>
      <c r="G311">
        <f t="shared" si="9"/>
        <v>535.70105472011073</v>
      </c>
    </row>
    <row r="312" spans="1:7" x14ac:dyDescent="0.3">
      <c r="A312">
        <f>Data_inputs!A312</f>
        <v>309</v>
      </c>
      <c r="B312">
        <f>Data_inputs!B312-Data_inputs!C312</f>
        <v>440.41194227923779</v>
      </c>
      <c r="C312">
        <f>Data_inputs!B312*K_factor</f>
        <v>2114.4054582916756</v>
      </c>
      <c r="D312">
        <f>Data_inputs!C312*K_factor</f>
        <v>1176.6378444015659</v>
      </c>
      <c r="E312">
        <f t="shared" si="8"/>
        <v>937.76761389010971</v>
      </c>
      <c r="F312">
        <f>Data_inputs!G312-Data_inputs!H312</f>
        <v>274.31146897847384</v>
      </c>
      <c r="G312">
        <f t="shared" si="9"/>
        <v>584.09045493942176</v>
      </c>
    </row>
    <row r="313" spans="1:7" x14ac:dyDescent="0.3">
      <c r="A313">
        <f>Data_inputs!A313</f>
        <v>310</v>
      </c>
      <c r="B313">
        <f>Data_inputs!B313-Data_inputs!C313</f>
        <v>217.4787782853582</v>
      </c>
      <c r="C313">
        <f>Data_inputs!B313*K_factor</f>
        <v>3059.9274213241365</v>
      </c>
      <c r="D313">
        <f>Data_inputs!C313*K_factor</f>
        <v>2596.8506166195807</v>
      </c>
      <c r="E313">
        <f t="shared" si="8"/>
        <v>463.0768047045558</v>
      </c>
      <c r="F313">
        <f>Data_inputs!G313-Data_inputs!H313</f>
        <v>303.22871540985716</v>
      </c>
      <c r="G313">
        <f t="shared" si="9"/>
        <v>645.66384699116816</v>
      </c>
    </row>
    <row r="314" spans="1:7" x14ac:dyDescent="0.3">
      <c r="A314">
        <f>Data_inputs!A314</f>
        <v>311</v>
      </c>
      <c r="B314">
        <f>Data_inputs!B314-Data_inputs!C314</f>
        <v>292.08374782180101</v>
      </c>
      <c r="C314">
        <f>Data_inputs!B314*K_factor</f>
        <v>1844.3795209572634</v>
      </c>
      <c r="D314">
        <f>Data_inputs!C314*K_factor</f>
        <v>1222.4466146119041</v>
      </c>
      <c r="E314">
        <f t="shared" si="8"/>
        <v>621.93290634535924</v>
      </c>
      <c r="F314">
        <f>Data_inputs!G314-Data_inputs!H314</f>
        <v>349.25362176118801</v>
      </c>
      <c r="G314">
        <f t="shared" si="9"/>
        <v>743.66451969145066</v>
      </c>
    </row>
    <row r="315" spans="1:7" x14ac:dyDescent="0.3">
      <c r="A315">
        <f>Data_inputs!A315</f>
        <v>312</v>
      </c>
      <c r="B315">
        <f>Data_inputs!B315-Data_inputs!C315</f>
        <v>284.71413994672599</v>
      </c>
      <c r="C315">
        <f>Data_inputs!B315*K_factor</f>
        <v>1512.793457547579</v>
      </c>
      <c r="D315">
        <f>Data_inputs!C315*K_factor</f>
        <v>906.55263156804472</v>
      </c>
      <c r="E315">
        <f t="shared" si="8"/>
        <v>606.24082597953429</v>
      </c>
      <c r="F315">
        <f>Data_inputs!G315-Data_inputs!H315</f>
        <v>181.6068377363481</v>
      </c>
      <c r="G315">
        <f t="shared" si="9"/>
        <v>386.6948067047731</v>
      </c>
    </row>
    <row r="316" spans="1:7" x14ac:dyDescent="0.3">
      <c r="A316">
        <f>Data_inputs!A316</f>
        <v>313</v>
      </c>
      <c r="B316">
        <f>Data_inputs!B316-Data_inputs!C316</f>
        <v>411.07641384537214</v>
      </c>
      <c r="C316">
        <f>Data_inputs!B316*K_factor</f>
        <v>2344.6117329384733</v>
      </c>
      <c r="D316">
        <f>Data_inputs!C316*K_factor</f>
        <v>1469.3081575103117</v>
      </c>
      <c r="E316">
        <f t="shared" si="8"/>
        <v>875.30357542816159</v>
      </c>
      <c r="F316">
        <f>Data_inputs!G316-Data_inputs!H316</f>
        <v>191.40965854231217</v>
      </c>
      <c r="G316">
        <f t="shared" si="9"/>
        <v>407.56791888476181</v>
      </c>
    </row>
    <row r="317" spans="1:7" x14ac:dyDescent="0.3">
      <c r="A317">
        <f>Data_inputs!A317</f>
        <v>314</v>
      </c>
      <c r="B317">
        <f>Data_inputs!B317-Data_inputs!C317</f>
        <v>309.99270715097867</v>
      </c>
      <c r="C317">
        <f>Data_inputs!B317*K_factor</f>
        <v>1553.533358316686</v>
      </c>
      <c r="D317">
        <f>Data_inputs!C317*K_factor</f>
        <v>893.46696728318977</v>
      </c>
      <c r="E317">
        <f t="shared" si="8"/>
        <v>660.06639103349619</v>
      </c>
      <c r="F317">
        <f>Data_inputs!G317-Data_inputs!H317</f>
        <v>245.59508780083593</v>
      </c>
      <c r="G317">
        <f t="shared" si="9"/>
        <v>522.9447645724739</v>
      </c>
    </row>
    <row r="318" spans="1:7" x14ac:dyDescent="0.3">
      <c r="A318">
        <f>Data_inputs!A318</f>
        <v>315</v>
      </c>
      <c r="B318">
        <f>Data_inputs!B318-Data_inputs!C318</f>
        <v>234.89258734112082</v>
      </c>
      <c r="C318">
        <f>Data_inputs!B318*K_factor</f>
        <v>1562.9544882719099</v>
      </c>
      <c r="D318">
        <f>Data_inputs!C318*K_factor</f>
        <v>1062.7985206308358</v>
      </c>
      <c r="E318">
        <f t="shared" si="8"/>
        <v>500.15596764107408</v>
      </c>
      <c r="F318">
        <f>Data_inputs!G318-Data_inputs!H318</f>
        <v>202.43786351196195</v>
      </c>
      <c r="G318">
        <f t="shared" si="9"/>
        <v>431.05023729410772</v>
      </c>
    </row>
    <row r="319" spans="1:7" x14ac:dyDescent="0.3">
      <c r="A319">
        <f>Data_inputs!A319</f>
        <v>316</v>
      </c>
      <c r="B319">
        <f>Data_inputs!B319-Data_inputs!C319</f>
        <v>525.29897869377032</v>
      </c>
      <c r="C319">
        <f>Data_inputs!B319*K_factor</f>
        <v>2515.7102942504912</v>
      </c>
      <c r="D319">
        <f>Data_inputs!C319*K_factor</f>
        <v>1397.1930095483508</v>
      </c>
      <c r="E319">
        <f t="shared" si="8"/>
        <v>1118.5172847021404</v>
      </c>
      <c r="F319">
        <f>Data_inputs!G319-Data_inputs!H319</f>
        <v>444.24424771595386</v>
      </c>
      <c r="G319">
        <f t="shared" si="9"/>
        <v>945.92772850119093</v>
      </c>
    </row>
    <row r="320" spans="1:7" x14ac:dyDescent="0.3">
      <c r="A320">
        <f>Data_inputs!A320</f>
        <v>317</v>
      </c>
      <c r="B320">
        <f>Data_inputs!B320-Data_inputs!C320</f>
        <v>1290.2105424792758</v>
      </c>
      <c r="C320">
        <f>Data_inputs!B320*K_factor</f>
        <v>4592.042819926477</v>
      </c>
      <c r="D320">
        <f>Data_inputs!C320*K_factor</f>
        <v>1844.8020081196034</v>
      </c>
      <c r="E320">
        <f t="shared" si="8"/>
        <v>2747.2408118068734</v>
      </c>
      <c r="F320">
        <f>Data_inputs!G320-Data_inputs!H320</f>
        <v>253.63229649983009</v>
      </c>
      <c r="G320">
        <f t="shared" si="9"/>
        <v>540.05836504612728</v>
      </c>
    </row>
    <row r="321" spans="1:7" x14ac:dyDescent="0.3">
      <c r="A321">
        <f>Data_inputs!A321</f>
        <v>318</v>
      </c>
      <c r="B321">
        <f>Data_inputs!B321-Data_inputs!C321</f>
        <v>480.12849015916106</v>
      </c>
      <c r="C321">
        <f>Data_inputs!B321*K_factor</f>
        <v>2703.1125550336128</v>
      </c>
      <c r="D321">
        <f>Data_inputs!C321*K_factor</f>
        <v>1680.7766341521967</v>
      </c>
      <c r="E321">
        <f t="shared" si="8"/>
        <v>1022.3359208814161</v>
      </c>
      <c r="F321">
        <f>Data_inputs!G321-Data_inputs!H321</f>
        <v>260.37357051518393</v>
      </c>
      <c r="G321">
        <f t="shared" si="9"/>
        <v>554.41253631414793</v>
      </c>
    </row>
    <row r="322" spans="1:7" x14ac:dyDescent="0.3">
      <c r="A322">
        <f>Data_inputs!A322</f>
        <v>319</v>
      </c>
      <c r="B322">
        <f>Data_inputs!B322-Data_inputs!C322</f>
        <v>662.59399945520352</v>
      </c>
      <c r="C322">
        <f>Data_inputs!B322*K_factor</f>
        <v>3164.7865479032976</v>
      </c>
      <c r="D322">
        <f>Data_inputs!C322*K_factor</f>
        <v>1753.9274539574621</v>
      </c>
      <c r="E322">
        <f t="shared" si="8"/>
        <v>1410.8590939458354</v>
      </c>
      <c r="F322">
        <f>Data_inputs!G322-Data_inputs!H322</f>
        <v>418.12113058359796</v>
      </c>
      <c r="G322">
        <f t="shared" si="9"/>
        <v>890.30386622851677</v>
      </c>
    </row>
    <row r="323" spans="1:7" x14ac:dyDescent="0.3">
      <c r="A323">
        <f>Data_inputs!A323</f>
        <v>320</v>
      </c>
      <c r="B323">
        <f>Data_inputs!B323-Data_inputs!C323</f>
        <v>1331.28038733111</v>
      </c>
      <c r="C323">
        <f>Data_inputs!B323*K_factor</f>
        <v>5750.2068526804505</v>
      </c>
      <c r="D323">
        <f>Data_inputs!C323*K_factor</f>
        <v>2915.5161633561274</v>
      </c>
      <c r="E323">
        <f t="shared" si="8"/>
        <v>2834.6906893243231</v>
      </c>
      <c r="F323">
        <f>Data_inputs!G323-Data_inputs!H323</f>
        <v>922.62719601815979</v>
      </c>
      <c r="G323">
        <f t="shared" si="9"/>
        <v>1964.5468731896847</v>
      </c>
    </row>
    <row r="324" spans="1:7" x14ac:dyDescent="0.3">
      <c r="A324">
        <f>Data_inputs!A324</f>
        <v>321</v>
      </c>
      <c r="B324">
        <f>Data_inputs!B324-Data_inputs!C324</f>
        <v>340.36642823195859</v>
      </c>
      <c r="C324">
        <f>Data_inputs!B324*K_factor</f>
        <v>2296.2285370520594</v>
      </c>
      <c r="D324">
        <f>Data_inputs!C324*K_factor</f>
        <v>1571.4874875711441</v>
      </c>
      <c r="E324">
        <f t="shared" ref="E324:E387" si="10">C324-D324</f>
        <v>724.74104948091531</v>
      </c>
      <c r="F324">
        <f>Data_inputs!G324-Data_inputs!H324</f>
        <v>184.866802022088</v>
      </c>
      <c r="G324">
        <f t="shared" ref="G324:G387" si="11">F324*K_factor</f>
        <v>393.63623729764964</v>
      </c>
    </row>
    <row r="325" spans="1:7" x14ac:dyDescent="0.3">
      <c r="A325">
        <f>Data_inputs!A325</f>
        <v>322</v>
      </c>
      <c r="B325">
        <f>Data_inputs!B325-Data_inputs!C325</f>
        <v>280.43506906190555</v>
      </c>
      <c r="C325">
        <f>Data_inputs!B325*K_factor</f>
        <v>1452.6637778216623</v>
      </c>
      <c r="D325">
        <f>Data_inputs!C325*K_factor</f>
        <v>855.53436256491091</v>
      </c>
      <c r="E325">
        <f t="shared" si="10"/>
        <v>597.12941525675137</v>
      </c>
      <c r="F325">
        <f>Data_inputs!G325-Data_inputs!H325</f>
        <v>219.15646171174103</v>
      </c>
      <c r="G325">
        <f t="shared" si="11"/>
        <v>466.64909017774221</v>
      </c>
    </row>
    <row r="326" spans="1:7" x14ac:dyDescent="0.3">
      <c r="A326">
        <f>Data_inputs!A326</f>
        <v>323</v>
      </c>
      <c r="B326">
        <f>Data_inputs!B326-Data_inputs!C326</f>
        <v>298.99797394048005</v>
      </c>
      <c r="C326">
        <f>Data_inputs!B326*K_factor</f>
        <v>2272.3368510038281</v>
      </c>
      <c r="D326">
        <f>Data_inputs!C326*K_factor</f>
        <v>1635.6815070795637</v>
      </c>
      <c r="E326">
        <f t="shared" si="10"/>
        <v>636.65534392426434</v>
      </c>
      <c r="F326">
        <f>Data_inputs!G326-Data_inputs!H326</f>
        <v>287.87739562476213</v>
      </c>
      <c r="G326">
        <f t="shared" si="11"/>
        <v>612.97633527104995</v>
      </c>
    </row>
    <row r="327" spans="1:7" x14ac:dyDescent="0.3">
      <c r="A327">
        <f>Data_inputs!A327</f>
        <v>324</v>
      </c>
      <c r="B327">
        <f>Data_inputs!B327-Data_inputs!C327</f>
        <v>212.60321817932402</v>
      </c>
      <c r="C327">
        <f>Data_inputs!B327*K_factor</f>
        <v>1713.7055342360545</v>
      </c>
      <c r="D327">
        <f>Data_inputs!C327*K_factor</f>
        <v>1261.0102426742887</v>
      </c>
      <c r="E327">
        <f t="shared" si="10"/>
        <v>452.69529156176577</v>
      </c>
      <c r="F327">
        <f>Data_inputs!G327-Data_inputs!H327</f>
        <v>267.94250117179104</v>
      </c>
      <c r="G327">
        <f t="shared" si="11"/>
        <v>570.52903398406306</v>
      </c>
    </row>
    <row r="328" spans="1:7" x14ac:dyDescent="0.3">
      <c r="A328">
        <f>Data_inputs!A328</f>
        <v>325</v>
      </c>
      <c r="B328">
        <f>Data_inputs!B328-Data_inputs!C328</f>
        <v>347.42626292390344</v>
      </c>
      <c r="C328">
        <f>Data_inputs!B328*K_factor</f>
        <v>2216.6572815264931</v>
      </c>
      <c r="D328">
        <f>Data_inputs!C328*K_factor</f>
        <v>1476.8837506390537</v>
      </c>
      <c r="E328">
        <f t="shared" si="10"/>
        <v>739.77353088743939</v>
      </c>
      <c r="F328">
        <f>Data_inputs!G328-Data_inputs!H328</f>
        <v>302.08241055214717</v>
      </c>
      <c r="G328">
        <f t="shared" si="11"/>
        <v>643.2230240524392</v>
      </c>
    </row>
    <row r="329" spans="1:7" x14ac:dyDescent="0.3">
      <c r="A329">
        <f>Data_inputs!A329</f>
        <v>326</v>
      </c>
      <c r="B329">
        <f>Data_inputs!B329-Data_inputs!C329</f>
        <v>369.75692951605606</v>
      </c>
      <c r="C329">
        <f>Data_inputs!B329*K_factor</f>
        <v>1926.8420117932949</v>
      </c>
      <c r="D329">
        <f>Data_inputs!C329*K_factor</f>
        <v>1139.5198703520091</v>
      </c>
      <c r="E329">
        <f t="shared" si="10"/>
        <v>787.32214144128579</v>
      </c>
      <c r="F329">
        <f>Data_inputs!G329-Data_inputs!H329</f>
        <v>226.79412413742102</v>
      </c>
      <c r="G329">
        <f t="shared" si="11"/>
        <v>482.91193816401886</v>
      </c>
    </row>
    <row r="330" spans="1:7" x14ac:dyDescent="0.3">
      <c r="A330">
        <f>Data_inputs!A330</f>
        <v>327</v>
      </c>
      <c r="B330">
        <f>Data_inputs!B330-Data_inputs!C330</f>
        <v>270.23552736103284</v>
      </c>
      <c r="C330">
        <f>Data_inputs!B330*K_factor</f>
        <v>2454.1838471722635</v>
      </c>
      <c r="D330">
        <f>Data_inputs!C330*K_factor</f>
        <v>1878.7722805144851</v>
      </c>
      <c r="E330">
        <f t="shared" si="10"/>
        <v>575.41156665777839</v>
      </c>
      <c r="F330">
        <f>Data_inputs!G330-Data_inputs!H330</f>
        <v>367.55387129272913</v>
      </c>
      <c r="G330">
        <f t="shared" si="11"/>
        <v>782.63117724386086</v>
      </c>
    </row>
    <row r="331" spans="1:7" x14ac:dyDescent="0.3">
      <c r="A331">
        <f>Data_inputs!A331</f>
        <v>328</v>
      </c>
      <c r="B331">
        <f>Data_inputs!B331-Data_inputs!C331</f>
        <v>350.74020586591126</v>
      </c>
      <c r="C331">
        <f>Data_inputs!B331*K_factor</f>
        <v>1584.1950322390014</v>
      </c>
      <c r="D331">
        <f>Data_inputs!C331*K_factor</f>
        <v>837.36513419400603</v>
      </c>
      <c r="E331">
        <f t="shared" si="10"/>
        <v>746.82989804499539</v>
      </c>
      <c r="F331">
        <f>Data_inputs!G331-Data_inputs!H331</f>
        <v>322.77954062882304</v>
      </c>
      <c r="G331">
        <f t="shared" si="11"/>
        <v>687.2933509966424</v>
      </c>
    </row>
    <row r="332" spans="1:7" x14ac:dyDescent="0.3">
      <c r="A332">
        <f>Data_inputs!A332</f>
        <v>329</v>
      </c>
      <c r="B332">
        <f>Data_inputs!B332-Data_inputs!C332</f>
        <v>571.99106881566502</v>
      </c>
      <c r="C332">
        <f>Data_inputs!B332*K_factor</f>
        <v>2665.1819990587014</v>
      </c>
      <c r="D332">
        <f>Data_inputs!C332*K_factor</f>
        <v>1447.2434095787064</v>
      </c>
      <c r="E332">
        <f t="shared" si="10"/>
        <v>1217.938589479995</v>
      </c>
      <c r="F332">
        <f>Data_inputs!G332-Data_inputs!H332</f>
        <v>380.86714347262205</v>
      </c>
      <c r="G332">
        <f t="shared" si="11"/>
        <v>810.97908130067674</v>
      </c>
    </row>
    <row r="333" spans="1:7" x14ac:dyDescent="0.3">
      <c r="A333">
        <f>Data_inputs!A333</f>
        <v>330</v>
      </c>
      <c r="B333">
        <f>Data_inputs!B333-Data_inputs!C333</f>
        <v>301.36284488550507</v>
      </c>
      <c r="C333">
        <f>Data_inputs!B333*K_factor</f>
        <v>1900.1742590233903</v>
      </c>
      <c r="D333">
        <f>Data_inputs!C333*K_factor</f>
        <v>1258.4834036372956</v>
      </c>
      <c r="E333">
        <f t="shared" si="10"/>
        <v>641.69085538609465</v>
      </c>
      <c r="F333">
        <f>Data_inputs!G333-Data_inputs!H333</f>
        <v>96.603540351727133</v>
      </c>
      <c r="G333">
        <f t="shared" si="11"/>
        <v>205.69758181429506</v>
      </c>
    </row>
    <row r="334" spans="1:7" x14ac:dyDescent="0.3">
      <c r="A334">
        <f>Data_inputs!A334</f>
        <v>331</v>
      </c>
      <c r="B334">
        <f>Data_inputs!B334-Data_inputs!C334</f>
        <v>243.88284325369921</v>
      </c>
      <c r="C334">
        <f>Data_inputs!B334*K_factor</f>
        <v>1831.3594230606334</v>
      </c>
      <c r="D334">
        <f>Data_inputs!C334*K_factor</f>
        <v>1312.0605348353242</v>
      </c>
      <c r="E334">
        <f t="shared" si="10"/>
        <v>519.29888822530916</v>
      </c>
      <c r="F334">
        <f>Data_inputs!G334-Data_inputs!H334</f>
        <v>329.75932650078107</v>
      </c>
      <c r="G334">
        <f t="shared" si="11"/>
        <v>702.15538472973299</v>
      </c>
    </row>
    <row r="335" spans="1:7" x14ac:dyDescent="0.3">
      <c r="A335">
        <f>Data_inputs!A335</f>
        <v>332</v>
      </c>
      <c r="B335">
        <f>Data_inputs!B335-Data_inputs!C335</f>
        <v>50.051450643971805</v>
      </c>
      <c r="C335">
        <f>Data_inputs!B335*K_factor</f>
        <v>980.89200905055827</v>
      </c>
      <c r="D335">
        <f>Data_inputs!C335*K_factor</f>
        <v>874.31762962018286</v>
      </c>
      <c r="E335">
        <f t="shared" si="10"/>
        <v>106.57437943037542</v>
      </c>
      <c r="F335">
        <f>Data_inputs!G335-Data_inputs!H335</f>
        <v>104.67053836664229</v>
      </c>
      <c r="G335">
        <f t="shared" si="11"/>
        <v>222.87461257452537</v>
      </c>
    </row>
    <row r="336" spans="1:7" x14ac:dyDescent="0.3">
      <c r="A336">
        <f>Data_inputs!A336</f>
        <v>333</v>
      </c>
      <c r="B336">
        <f>Data_inputs!B336-Data_inputs!C336</f>
        <v>532.01793918805538</v>
      </c>
      <c r="C336">
        <f>Data_inputs!B336*K_factor</f>
        <v>2847.661336903921</v>
      </c>
      <c r="D336">
        <f>Data_inputs!C336*K_factor</f>
        <v>1714.8373930364107</v>
      </c>
      <c r="E336">
        <f t="shared" si="10"/>
        <v>1132.8239438675103</v>
      </c>
      <c r="F336">
        <f>Data_inputs!G336-Data_inputs!H336</f>
        <v>364.88836438864701</v>
      </c>
      <c r="G336">
        <f t="shared" si="11"/>
        <v>776.95552268210554</v>
      </c>
    </row>
    <row r="337" spans="1:7" x14ac:dyDescent="0.3">
      <c r="A337">
        <f>Data_inputs!A337</f>
        <v>334</v>
      </c>
      <c r="B337">
        <f>Data_inputs!B337-Data_inputs!C337</f>
        <v>213.69302305426027</v>
      </c>
      <c r="C337">
        <f>Data_inputs!B337*K_factor</f>
        <v>1662.1760655463977</v>
      </c>
      <c r="D337">
        <f>Data_inputs!C337*K_factor</f>
        <v>1207.1602562623243</v>
      </c>
      <c r="E337">
        <f t="shared" si="10"/>
        <v>455.01580928407338</v>
      </c>
      <c r="F337">
        <f>Data_inputs!G337-Data_inputs!H337</f>
        <v>183.41972297694497</v>
      </c>
      <c r="G337">
        <f t="shared" si="11"/>
        <v>390.55497692979668</v>
      </c>
    </row>
    <row r="338" spans="1:7" x14ac:dyDescent="0.3">
      <c r="A338">
        <f>Data_inputs!A338</f>
        <v>335</v>
      </c>
      <c r="B338">
        <f>Data_inputs!B338-Data_inputs!C338</f>
        <v>952.99904868098088</v>
      </c>
      <c r="C338">
        <f>Data_inputs!B338*K_factor</f>
        <v>4206.4607264055921</v>
      </c>
      <c r="D338">
        <f>Data_inputs!C338*K_factor</f>
        <v>2177.2431731847628</v>
      </c>
      <c r="E338">
        <f t="shared" si="10"/>
        <v>2029.2175532208294</v>
      </c>
      <c r="F338">
        <f>Data_inputs!G338-Data_inputs!H338</f>
        <v>1785.4124966025447</v>
      </c>
      <c r="G338">
        <f t="shared" si="11"/>
        <v>3801.6726069770875</v>
      </c>
    </row>
    <row r="339" spans="1:7" x14ac:dyDescent="0.3">
      <c r="A339">
        <f>Data_inputs!A339</f>
        <v>336</v>
      </c>
      <c r="B339">
        <f>Data_inputs!B339-Data_inputs!C339</f>
        <v>667.76990681841755</v>
      </c>
      <c r="C339">
        <f>Data_inputs!B339*K_factor</f>
        <v>2975.8902355771279</v>
      </c>
      <c r="D339">
        <f>Data_inputs!C339*K_factor</f>
        <v>1554.0101001204789</v>
      </c>
      <c r="E339">
        <f t="shared" si="10"/>
        <v>1421.880135456649</v>
      </c>
      <c r="F339">
        <f>Data_inputs!G339-Data_inputs!H339</f>
        <v>585.42042806232939</v>
      </c>
      <c r="G339">
        <f t="shared" si="11"/>
        <v>1246.5336773235319</v>
      </c>
    </row>
    <row r="340" spans="1:7" x14ac:dyDescent="0.3">
      <c r="A340">
        <f>Data_inputs!A340</f>
        <v>337</v>
      </c>
      <c r="B340">
        <f>Data_inputs!B340-Data_inputs!C340</f>
        <v>280.90659038936928</v>
      </c>
      <c r="C340">
        <f>Data_inputs!B340*K_factor</f>
        <v>2070.6843833594421</v>
      </c>
      <c r="D340">
        <f>Data_inputs!C340*K_factor</f>
        <v>1472.5509593833413</v>
      </c>
      <c r="E340">
        <f t="shared" si="10"/>
        <v>598.13342397610086</v>
      </c>
      <c r="F340">
        <f>Data_inputs!G340-Data_inputs!H340</f>
        <v>238.20861209767304</v>
      </c>
      <c r="G340">
        <f t="shared" si="11"/>
        <v>507.21676759908462</v>
      </c>
    </row>
    <row r="341" spans="1:7" x14ac:dyDescent="0.3">
      <c r="A341">
        <f>Data_inputs!A341</f>
        <v>338</v>
      </c>
      <c r="B341">
        <f>Data_inputs!B341-Data_inputs!C341</f>
        <v>235.84355859748155</v>
      </c>
      <c r="C341">
        <f>Data_inputs!B341*K_factor</f>
        <v>1992.0381821843819</v>
      </c>
      <c r="D341">
        <f>Data_inputs!C341*K_factor</f>
        <v>1489.8573147612076</v>
      </c>
      <c r="E341">
        <f t="shared" si="10"/>
        <v>502.18086742317428</v>
      </c>
      <c r="F341">
        <f>Data_inputs!G341-Data_inputs!H341</f>
        <v>310.70560724047095</v>
      </c>
      <c r="G341">
        <f t="shared" si="11"/>
        <v>661.58436670964466</v>
      </c>
    </row>
    <row r="342" spans="1:7" x14ac:dyDescent="0.3">
      <c r="A342">
        <f>Data_inputs!A342</f>
        <v>339</v>
      </c>
      <c r="B342">
        <f>Data_inputs!B342-Data_inputs!C342</f>
        <v>245.45460778098754</v>
      </c>
      <c r="C342">
        <f>Data_inputs!B342*K_factor</f>
        <v>1778.2800898415351</v>
      </c>
      <c r="D342">
        <f>Data_inputs!C342*K_factor</f>
        <v>1255.6344488857612</v>
      </c>
      <c r="E342">
        <f t="shared" si="10"/>
        <v>522.64564095577384</v>
      </c>
      <c r="F342">
        <f>Data_inputs!G342-Data_inputs!H342</f>
        <v>86.261070831845927</v>
      </c>
      <c r="G342">
        <f t="shared" si="11"/>
        <v>183.67539750840092</v>
      </c>
    </row>
    <row r="343" spans="1:7" x14ac:dyDescent="0.3">
      <c r="A343">
        <f>Data_inputs!A343</f>
        <v>340</v>
      </c>
      <c r="B343">
        <f>Data_inputs!B343-Data_inputs!C343</f>
        <v>379.27500864404885</v>
      </c>
      <c r="C343">
        <f>Data_inputs!B343*K_factor</f>
        <v>2164.0942887271958</v>
      </c>
      <c r="D343">
        <f>Data_inputs!C343*K_factor</f>
        <v>1356.5053345685205</v>
      </c>
      <c r="E343">
        <f t="shared" si="10"/>
        <v>807.58895415867528</v>
      </c>
      <c r="F343">
        <f>Data_inputs!G343-Data_inputs!H343</f>
        <v>192.58971693842386</v>
      </c>
      <c r="G343">
        <f t="shared" si="11"/>
        <v>410.08061311518077</v>
      </c>
    </row>
    <row r="344" spans="1:7" x14ac:dyDescent="0.3">
      <c r="A344">
        <f>Data_inputs!A344</f>
        <v>341</v>
      </c>
      <c r="B344">
        <f>Data_inputs!B344-Data_inputs!C344</f>
        <v>501.43778531372311</v>
      </c>
      <c r="C344">
        <f>Data_inputs!B344*K_factor</f>
        <v>2032.9514765086219</v>
      </c>
      <c r="D344">
        <f>Data_inputs!C344*K_factor</f>
        <v>965.24174771601236</v>
      </c>
      <c r="E344">
        <f t="shared" si="10"/>
        <v>1067.7097287926094</v>
      </c>
      <c r="F344">
        <f>Data_inputs!G344-Data_inputs!H344</f>
        <v>378.39866786832795</v>
      </c>
      <c r="G344">
        <f t="shared" si="11"/>
        <v>805.72296479891963</v>
      </c>
    </row>
    <row r="345" spans="1:7" x14ac:dyDescent="0.3">
      <c r="A345">
        <f>Data_inputs!A345</f>
        <v>342</v>
      </c>
      <c r="B345">
        <f>Data_inputs!B345-Data_inputs!C345</f>
        <v>477.01594132875402</v>
      </c>
      <c r="C345">
        <f>Data_inputs!B345*K_factor</f>
        <v>3322.4568689985167</v>
      </c>
      <c r="D345">
        <f>Data_inputs!C345*K_factor</f>
        <v>2306.7484874946695</v>
      </c>
      <c r="E345">
        <f t="shared" si="10"/>
        <v>1015.7083815038472</v>
      </c>
      <c r="F345">
        <f>Data_inputs!G345-Data_inputs!H345</f>
        <v>114.78168555274306</v>
      </c>
      <c r="G345">
        <f t="shared" si="11"/>
        <v>244.40424304124312</v>
      </c>
    </row>
    <row r="346" spans="1:7" x14ac:dyDescent="0.3">
      <c r="A346">
        <f>Data_inputs!A346</f>
        <v>343</v>
      </c>
      <c r="B346">
        <f>Data_inputs!B346-Data_inputs!C346</f>
        <v>791.70499131522274</v>
      </c>
      <c r="C346">
        <f>Data_inputs!B346*K_factor</f>
        <v>2986.1129830875702</v>
      </c>
      <c r="D346">
        <f>Data_inputs!C346*K_factor</f>
        <v>1300.3383041170471</v>
      </c>
      <c r="E346">
        <f t="shared" si="10"/>
        <v>1685.7746789705232</v>
      </c>
      <c r="F346">
        <f>Data_inputs!G346-Data_inputs!H346</f>
        <v>641.59693248890608</v>
      </c>
      <c r="G346">
        <f t="shared" si="11"/>
        <v>1366.1501124278204</v>
      </c>
    </row>
    <row r="347" spans="1:7" x14ac:dyDescent="0.3">
      <c r="A347">
        <f>Data_inputs!A347</f>
        <v>344</v>
      </c>
      <c r="B347">
        <f>Data_inputs!B347-Data_inputs!C347</f>
        <v>526.49786296119214</v>
      </c>
      <c r="C347">
        <f>Data_inputs!B347*K_factor</f>
        <v>2984.6094465596834</v>
      </c>
      <c r="D347">
        <f>Data_inputs!C347*K_factor</f>
        <v>1863.5393817649508</v>
      </c>
      <c r="E347">
        <f t="shared" si="10"/>
        <v>1121.0700647947326</v>
      </c>
      <c r="F347">
        <f>Data_inputs!G347-Data_inputs!H347</f>
        <v>354.28951436377019</v>
      </c>
      <c r="G347">
        <f t="shared" si="11"/>
        <v>754.38742826039254</v>
      </c>
    </row>
    <row r="348" spans="1:7" x14ac:dyDescent="0.3">
      <c r="A348">
        <f>Data_inputs!A348</f>
        <v>345</v>
      </c>
      <c r="B348">
        <f>Data_inputs!B348-Data_inputs!C348</f>
        <v>1551.0225351391998</v>
      </c>
      <c r="C348">
        <f>Data_inputs!B348*K_factor</f>
        <v>5177.5023177111425</v>
      </c>
      <c r="D348">
        <f>Data_inputs!C348*K_factor</f>
        <v>1874.9154388451977</v>
      </c>
      <c r="E348">
        <f t="shared" si="10"/>
        <v>3302.5868788659445</v>
      </c>
      <c r="F348">
        <f>Data_inputs!G348-Data_inputs!H348</f>
        <v>-43.252062278580979</v>
      </c>
      <c r="G348">
        <f t="shared" si="11"/>
        <v>-92.096465479345483</v>
      </c>
    </row>
    <row r="349" spans="1:7" x14ac:dyDescent="0.3">
      <c r="A349">
        <f>Data_inputs!A349</f>
        <v>346</v>
      </c>
      <c r="B349">
        <f>Data_inputs!B349-Data_inputs!C349</f>
        <v>723.99870424210883</v>
      </c>
      <c r="C349">
        <f>Data_inputs!B349*K_factor</f>
        <v>3124.6580732736152</v>
      </c>
      <c r="D349">
        <f>Data_inputs!C349*K_factor</f>
        <v>1583.0501554161592</v>
      </c>
      <c r="E349">
        <f t="shared" si="10"/>
        <v>1541.607917857456</v>
      </c>
      <c r="F349">
        <f>Data_inputs!G349-Data_inputs!H349</f>
        <v>511.15399724357826</v>
      </c>
      <c r="G349">
        <f t="shared" si="11"/>
        <v>1088.3984249945254</v>
      </c>
    </row>
    <row r="350" spans="1:7" x14ac:dyDescent="0.3">
      <c r="A350">
        <f>Data_inputs!A350</f>
        <v>347</v>
      </c>
      <c r="B350">
        <f>Data_inputs!B350-Data_inputs!C350</f>
        <v>234.76539569834745</v>
      </c>
      <c r="C350">
        <f>Data_inputs!B350*K_factor</f>
        <v>1906.286225491413</v>
      </c>
      <c r="D350">
        <f>Data_inputs!C350*K_factor</f>
        <v>1406.401086572042</v>
      </c>
      <c r="E350">
        <f t="shared" si="10"/>
        <v>499.885138919371</v>
      </c>
      <c r="F350">
        <f>Data_inputs!G350-Data_inputs!H350</f>
        <v>5.9834174307179637</v>
      </c>
      <c r="G350">
        <f t="shared" si="11"/>
        <v>12.740469883433036</v>
      </c>
    </row>
    <row r="351" spans="1:7" x14ac:dyDescent="0.3">
      <c r="A351">
        <f>Data_inputs!A351</f>
        <v>348</v>
      </c>
      <c r="B351">
        <f>Data_inputs!B351-Data_inputs!C351</f>
        <v>548.98604210241092</v>
      </c>
      <c r="C351">
        <f>Data_inputs!B351*K_factor</f>
        <v>3130.9487182704438</v>
      </c>
      <c r="D351">
        <f>Data_inputs!C351*K_factor</f>
        <v>1961.9946520000583</v>
      </c>
      <c r="E351">
        <f t="shared" si="10"/>
        <v>1168.9540662703855</v>
      </c>
      <c r="F351">
        <f>Data_inputs!G351-Data_inputs!H351</f>
        <v>91.51935694845406</v>
      </c>
      <c r="G351">
        <f t="shared" si="11"/>
        <v>194.87184781173221</v>
      </c>
    </row>
    <row r="352" spans="1:7" x14ac:dyDescent="0.3">
      <c r="A352">
        <f>Data_inputs!A352</f>
        <v>349</v>
      </c>
      <c r="B352">
        <f>Data_inputs!B352-Data_inputs!C352</f>
        <v>-98.684405704958749</v>
      </c>
      <c r="C352">
        <f>Data_inputs!B352*K_factor</f>
        <v>1821.0320603813898</v>
      </c>
      <c r="D352">
        <f>Data_inputs!C352*K_factor</f>
        <v>2031.1604215406494</v>
      </c>
      <c r="E352">
        <f t="shared" si="10"/>
        <v>-210.12836115925961</v>
      </c>
      <c r="F352">
        <f>Data_inputs!G352-Data_inputs!H352</f>
        <v>109.32119820042112</v>
      </c>
      <c r="G352">
        <f t="shared" si="11"/>
        <v>232.77724635136369</v>
      </c>
    </row>
    <row r="353" spans="1:7" x14ac:dyDescent="0.3">
      <c r="A353">
        <f>Data_inputs!A353</f>
        <v>350</v>
      </c>
      <c r="B353">
        <f>Data_inputs!B353-Data_inputs!C353</f>
        <v>388.8505529123903</v>
      </c>
      <c r="C353">
        <f>Data_inputs!B353*K_factor</f>
        <v>2220.2242644637417</v>
      </c>
      <c r="D353">
        <f>Data_inputs!C353*K_factor</f>
        <v>1392.2461372645946</v>
      </c>
      <c r="E353">
        <f t="shared" si="10"/>
        <v>827.97812719914714</v>
      </c>
      <c r="F353">
        <f>Data_inputs!G353-Data_inputs!H353</f>
        <v>416.29104162340764</v>
      </c>
      <c r="G353">
        <f t="shared" si="11"/>
        <v>886.40706418331661</v>
      </c>
    </row>
    <row r="354" spans="1:7" x14ac:dyDescent="0.3">
      <c r="A354">
        <f>Data_inputs!A354</f>
        <v>351</v>
      </c>
      <c r="B354">
        <f>Data_inputs!B354-Data_inputs!C354</f>
        <v>251.37497809143065</v>
      </c>
      <c r="C354">
        <f>Data_inputs!B354*K_factor</f>
        <v>1739.1534901199709</v>
      </c>
      <c r="D354">
        <f>Data_inputs!C354*K_factor</f>
        <v>1203.9016252942504</v>
      </c>
      <c r="E354">
        <f t="shared" si="10"/>
        <v>535.25186482572053</v>
      </c>
      <c r="F354">
        <f>Data_inputs!G354-Data_inputs!H354</f>
        <v>323.50498162064787</v>
      </c>
      <c r="G354">
        <f t="shared" si="11"/>
        <v>688.83802997242344</v>
      </c>
    </row>
    <row r="355" spans="1:7" x14ac:dyDescent="0.3">
      <c r="A355">
        <f>Data_inputs!A355</f>
        <v>352</v>
      </c>
      <c r="B355">
        <f>Data_inputs!B355-Data_inputs!C355</f>
        <v>435.74867361388294</v>
      </c>
      <c r="C355">
        <f>Data_inputs!B355*K_factor</f>
        <v>2232.285869810109</v>
      </c>
      <c r="D355">
        <f>Data_inputs!C355*K_factor</f>
        <v>1304.4477376379714</v>
      </c>
      <c r="E355">
        <f t="shared" si="10"/>
        <v>927.83813217213765</v>
      </c>
      <c r="F355">
        <f>Data_inputs!G355-Data_inputs!H355</f>
        <v>151.62303141509392</v>
      </c>
      <c r="G355">
        <f t="shared" si="11"/>
        <v>322.85039239641185</v>
      </c>
    </row>
    <row r="356" spans="1:7" x14ac:dyDescent="0.3">
      <c r="A356">
        <f>Data_inputs!A356</f>
        <v>353</v>
      </c>
      <c r="B356">
        <f>Data_inputs!B356-Data_inputs!C356</f>
        <v>97.530326224889563</v>
      </c>
      <c r="C356">
        <f>Data_inputs!B356*K_factor</f>
        <v>1719.8857703005447</v>
      </c>
      <c r="D356">
        <f>Data_inputs!C356*K_factor</f>
        <v>1512.2147865563093</v>
      </c>
      <c r="E356">
        <f t="shared" si="10"/>
        <v>207.6709837442354</v>
      </c>
      <c r="F356">
        <f>Data_inputs!G356-Data_inputs!H356</f>
        <v>251.45472646359212</v>
      </c>
      <c r="G356">
        <f t="shared" si="11"/>
        <v>535.42167275664633</v>
      </c>
    </row>
    <row r="357" spans="1:7" x14ac:dyDescent="0.3">
      <c r="A357">
        <f>Data_inputs!A357</f>
        <v>354</v>
      </c>
      <c r="B357">
        <f>Data_inputs!B357-Data_inputs!C357</f>
        <v>261.68855955539641</v>
      </c>
      <c r="C357">
        <f>Data_inputs!B357*K_factor</f>
        <v>2219.3076531162128</v>
      </c>
      <c r="D357">
        <f>Data_inputs!C357*K_factor</f>
        <v>1662.0951152213861</v>
      </c>
      <c r="E357">
        <f t="shared" si="10"/>
        <v>557.21253789482671</v>
      </c>
      <c r="F357">
        <f>Data_inputs!G357-Data_inputs!H357</f>
        <v>143.79212984111473</v>
      </c>
      <c r="G357">
        <f t="shared" si="11"/>
        <v>306.17608096508678</v>
      </c>
    </row>
    <row r="358" spans="1:7" x14ac:dyDescent="0.3">
      <c r="A358">
        <f>Data_inputs!A358</f>
        <v>355</v>
      </c>
      <c r="B358">
        <f>Data_inputs!B358-Data_inputs!C358</f>
        <v>517.22131501791716</v>
      </c>
      <c r="C358">
        <f>Data_inputs!B358*K_factor</f>
        <v>2901.038326356841</v>
      </c>
      <c r="D358">
        <f>Data_inputs!C358*K_factor</f>
        <v>1799.7207827695972</v>
      </c>
      <c r="E358">
        <f t="shared" si="10"/>
        <v>1101.3175435872438</v>
      </c>
      <c r="F358">
        <f>Data_inputs!G358-Data_inputs!H358</f>
        <v>466.11403118993076</v>
      </c>
      <c r="G358">
        <f t="shared" si="11"/>
        <v>992.49498223765147</v>
      </c>
    </row>
    <row r="359" spans="1:7" x14ac:dyDescent="0.3">
      <c r="A359">
        <f>Data_inputs!A359</f>
        <v>356</v>
      </c>
      <c r="B359">
        <f>Data_inputs!B359-Data_inputs!C359</f>
        <v>442.47315739459907</v>
      </c>
      <c r="C359">
        <f>Data_inputs!B359*K_factor</f>
        <v>2344.944888035317</v>
      </c>
      <c r="D359">
        <f>Data_inputs!C359*K_factor</f>
        <v>1402.7883359832601</v>
      </c>
      <c r="E359">
        <f t="shared" si="10"/>
        <v>942.1565520520569</v>
      </c>
      <c r="F359">
        <f>Data_inputs!G359-Data_inputs!H359</f>
        <v>405.14579012403601</v>
      </c>
      <c r="G359">
        <f t="shared" si="11"/>
        <v>862.67551900613296</v>
      </c>
    </row>
    <row r="360" spans="1:7" x14ac:dyDescent="0.3">
      <c r="A360">
        <f>Data_inputs!A360</f>
        <v>357</v>
      </c>
      <c r="B360">
        <f>Data_inputs!B360-Data_inputs!C360</f>
        <v>376.50428734707259</v>
      </c>
      <c r="C360">
        <f>Data_inputs!B360*K_factor</f>
        <v>2046.7577154506569</v>
      </c>
      <c r="D360">
        <f>Data_inputs!C360*K_factor</f>
        <v>1245.0684484938615</v>
      </c>
      <c r="E360">
        <f t="shared" si="10"/>
        <v>801.68926695679534</v>
      </c>
      <c r="F360">
        <f>Data_inputs!G360-Data_inputs!H360</f>
        <v>287.4908506078782</v>
      </c>
      <c r="G360">
        <f t="shared" si="11"/>
        <v>612.15326631368157</v>
      </c>
    </row>
    <row r="361" spans="1:7" x14ac:dyDescent="0.3">
      <c r="A361">
        <f>Data_inputs!A361</f>
        <v>358</v>
      </c>
      <c r="B361">
        <f>Data_inputs!B361-Data_inputs!C361</f>
        <v>543.59915140600231</v>
      </c>
      <c r="C361">
        <f>Data_inputs!B361*K_factor</f>
        <v>2792.8176922579028</v>
      </c>
      <c r="D361">
        <f>Data_inputs!C361*K_factor</f>
        <v>1635.3339135744397</v>
      </c>
      <c r="E361">
        <f t="shared" si="10"/>
        <v>1157.483778683463</v>
      </c>
      <c r="F361">
        <f>Data_inputs!G361-Data_inputs!H361</f>
        <v>437.57880852960989</v>
      </c>
      <c r="G361">
        <f t="shared" si="11"/>
        <v>931.73503207030194</v>
      </c>
    </row>
    <row r="362" spans="1:7" x14ac:dyDescent="0.3">
      <c r="A362">
        <f>Data_inputs!A362</f>
        <v>359</v>
      </c>
      <c r="B362">
        <f>Data_inputs!B362-Data_inputs!C362</f>
        <v>410.22794072256988</v>
      </c>
      <c r="C362">
        <f>Data_inputs!B362*K_factor</f>
        <v>2213.5410396690586</v>
      </c>
      <c r="D362">
        <f>Data_inputs!C362*K_factor</f>
        <v>1340.0441151044095</v>
      </c>
      <c r="E362">
        <f t="shared" si="10"/>
        <v>873.49692456464913</v>
      </c>
      <c r="F362">
        <f>Data_inputs!G362-Data_inputs!H362</f>
        <v>250.93069221701398</v>
      </c>
      <c r="G362">
        <f t="shared" si="11"/>
        <v>534.30584846163049</v>
      </c>
    </row>
    <row r="363" spans="1:7" x14ac:dyDescent="0.3">
      <c r="A363">
        <f>Data_inputs!A363</f>
        <v>360</v>
      </c>
      <c r="B363">
        <f>Data_inputs!B363-Data_inputs!C363</f>
        <v>401.0316657677032</v>
      </c>
      <c r="C363">
        <f>Data_inputs!B363*K_factor</f>
        <v>2022.5667111784296</v>
      </c>
      <c r="D363">
        <f>Data_inputs!C363*K_factor</f>
        <v>1168.6513828267982</v>
      </c>
      <c r="E363">
        <f t="shared" si="10"/>
        <v>853.91532835163139</v>
      </c>
      <c r="F363">
        <f>Data_inputs!G363-Data_inputs!H363</f>
        <v>241.77988181273008</v>
      </c>
      <c r="G363">
        <f t="shared" si="11"/>
        <v>514.82105975772834</v>
      </c>
    </row>
    <row r="364" spans="1:7" x14ac:dyDescent="0.3">
      <c r="A364">
        <f>Data_inputs!A364</f>
        <v>361</v>
      </c>
      <c r="B364">
        <f>Data_inputs!B364-Data_inputs!C364</f>
        <v>359.80891867460264</v>
      </c>
      <c r="C364">
        <f>Data_inputs!B364*K_factor</f>
        <v>2236.460221405112</v>
      </c>
      <c r="D364">
        <f>Data_inputs!C364*K_factor</f>
        <v>1470.3203447804049</v>
      </c>
      <c r="E364">
        <f t="shared" si="10"/>
        <v>766.13987662470709</v>
      </c>
      <c r="F364">
        <f>Data_inputs!G364-Data_inputs!H364</f>
        <v>338.28854142423097</v>
      </c>
      <c r="G364">
        <f t="shared" si="11"/>
        <v>720.31661234251249</v>
      </c>
    </row>
    <row r="365" spans="1:7" x14ac:dyDescent="0.3">
      <c r="A365">
        <f>Data_inputs!A365</f>
        <v>362</v>
      </c>
      <c r="B365">
        <f>Data_inputs!B365-Data_inputs!C365</f>
        <v>338.90808265184683</v>
      </c>
      <c r="C365">
        <f>Data_inputs!B365*K_factor</f>
        <v>2317.7129035699222</v>
      </c>
      <c r="D365">
        <f>Data_inputs!C365*K_factor</f>
        <v>1596.0771042505057</v>
      </c>
      <c r="E365">
        <f t="shared" si="10"/>
        <v>721.63579931941649</v>
      </c>
      <c r="F365">
        <f>Data_inputs!G365-Data_inputs!H365</f>
        <v>253.1926212493222</v>
      </c>
      <c r="G365">
        <f t="shared" si="11"/>
        <v>539.12216606745858</v>
      </c>
    </row>
    <row r="366" spans="1:7" x14ac:dyDescent="0.3">
      <c r="A366">
        <f>Data_inputs!A366</f>
        <v>363</v>
      </c>
      <c r="B366">
        <f>Data_inputs!B366-Data_inputs!C366</f>
        <v>243.4650274780746</v>
      </c>
      <c r="C366">
        <f>Data_inputs!B366*K_factor</f>
        <v>1936.5463066099439</v>
      </c>
      <c r="D366">
        <f>Data_inputs!C366*K_factor</f>
        <v>1418.1370720596133</v>
      </c>
      <c r="E366">
        <f t="shared" si="10"/>
        <v>518.40923455033067</v>
      </c>
      <c r="F366">
        <f>Data_inputs!G366-Data_inputs!H366</f>
        <v>366.47898397626182</v>
      </c>
      <c r="G366">
        <f t="shared" si="11"/>
        <v>780.34242342681478</v>
      </c>
    </row>
    <row r="367" spans="1:7" x14ac:dyDescent="0.3">
      <c r="A367">
        <f>Data_inputs!A367</f>
        <v>364</v>
      </c>
      <c r="B367">
        <f>Data_inputs!B367-Data_inputs!C367</f>
        <v>118.93963864069377</v>
      </c>
      <c r="C367">
        <f>Data_inputs!B367*K_factor</f>
        <v>1289.3272365948581</v>
      </c>
      <c r="D367">
        <f>Data_inputs!C367*K_factor</f>
        <v>1036.0694785336195</v>
      </c>
      <c r="E367">
        <f t="shared" si="10"/>
        <v>253.25775806123852</v>
      </c>
      <c r="F367">
        <f>Data_inputs!G367-Data_inputs!H367</f>
        <v>152.78990743386794</v>
      </c>
      <c r="G367">
        <f t="shared" si="11"/>
        <v>325.33501743670541</v>
      </c>
    </row>
    <row r="368" spans="1:7" x14ac:dyDescent="0.3">
      <c r="A368">
        <f>Data_inputs!A368</f>
        <v>365</v>
      </c>
      <c r="B368">
        <f>Data_inputs!B368-Data_inputs!C368</f>
        <v>1273.6944133961292</v>
      </c>
      <c r="C368">
        <f>Data_inputs!B368*K_factor</f>
        <v>4465.6477640042376</v>
      </c>
      <c r="D368">
        <f>Data_inputs!C368*K_factor</f>
        <v>1753.5746882965439</v>
      </c>
      <c r="E368">
        <f t="shared" si="10"/>
        <v>2712.0730757076935</v>
      </c>
      <c r="F368">
        <f>Data_inputs!G368-Data_inputs!H368</f>
        <v>215.85346911035003</v>
      </c>
      <c r="G368">
        <f t="shared" si="11"/>
        <v>459.61603954230048</v>
      </c>
    </row>
    <row r="369" spans="1:7" x14ac:dyDescent="0.3">
      <c r="A369">
        <f>Data_inputs!A369</f>
        <v>366</v>
      </c>
      <c r="B369">
        <f>Data_inputs!B369-Data_inputs!C369</f>
        <v>501.71468991389634</v>
      </c>
      <c r="C369">
        <f>Data_inputs!B369*K_factor</f>
        <v>2409.8979562775435</v>
      </c>
      <c r="D369">
        <f>Data_inputs!C369*K_factor</f>
        <v>1341.5986154847783</v>
      </c>
      <c r="E369">
        <f t="shared" si="10"/>
        <v>1068.2993407927652</v>
      </c>
      <c r="F369">
        <f>Data_inputs!G369-Data_inputs!H369</f>
        <v>353.68823061659532</v>
      </c>
      <c r="G369">
        <f t="shared" si="11"/>
        <v>753.10711687296521</v>
      </c>
    </row>
    <row r="370" spans="1:7" x14ac:dyDescent="0.3">
      <c r="A370">
        <f>Data_inputs!A370</f>
        <v>367</v>
      </c>
      <c r="B370">
        <f>Data_inputs!B370-Data_inputs!C370</f>
        <v>263.25649155092998</v>
      </c>
      <c r="C370">
        <f>Data_inputs!B370*K_factor</f>
        <v>1596.0010252082775</v>
      </c>
      <c r="D370">
        <f>Data_inputs!C370*K_factor</f>
        <v>1035.4498951794953</v>
      </c>
      <c r="E370">
        <f t="shared" si="10"/>
        <v>560.55113002878215</v>
      </c>
      <c r="F370">
        <f>Data_inputs!G370-Data_inputs!H370</f>
        <v>162.89130753090103</v>
      </c>
      <c r="G370">
        <f t="shared" si="11"/>
        <v>346.84389346063926</v>
      </c>
    </row>
    <row r="371" spans="1:7" x14ac:dyDescent="0.3">
      <c r="A371">
        <f>Data_inputs!A371</f>
        <v>368</v>
      </c>
      <c r="B371">
        <f>Data_inputs!B371-Data_inputs!C371</f>
        <v>852.80037086167852</v>
      </c>
      <c r="C371">
        <f>Data_inputs!B371*K_factor</f>
        <v>3916.9414287019836</v>
      </c>
      <c r="D371">
        <f>Data_inputs!C371*K_factor</f>
        <v>2101.0765709763523</v>
      </c>
      <c r="E371">
        <f t="shared" si="10"/>
        <v>1815.8648577256313</v>
      </c>
      <c r="F371">
        <f>Data_inputs!G371-Data_inputs!H371</f>
        <v>779.37250342184279</v>
      </c>
      <c r="G371">
        <f t="shared" si="11"/>
        <v>1659.5151554770141</v>
      </c>
    </row>
    <row r="372" spans="1:7" x14ac:dyDescent="0.3">
      <c r="A372">
        <f>Data_inputs!A372</f>
        <v>369</v>
      </c>
      <c r="B372">
        <f>Data_inputs!B372-Data_inputs!C372</f>
        <v>254.93033208944064</v>
      </c>
      <c r="C372">
        <f>Data_inputs!B372*K_factor</f>
        <v>1753.7745680326873</v>
      </c>
      <c r="D372">
        <f>Data_inputs!C372*K_factor</f>
        <v>1210.9523003291663</v>
      </c>
      <c r="E372">
        <f t="shared" si="10"/>
        <v>542.82226770352099</v>
      </c>
      <c r="F372">
        <f>Data_inputs!G372-Data_inputs!H372</f>
        <v>249.05027715398205</v>
      </c>
      <c r="G372">
        <f t="shared" si="11"/>
        <v>530.30188722103276</v>
      </c>
    </row>
    <row r="373" spans="1:7" x14ac:dyDescent="0.3">
      <c r="A373">
        <f>Data_inputs!A373</f>
        <v>370</v>
      </c>
      <c r="B373">
        <f>Data_inputs!B373-Data_inputs!C373</f>
        <v>507.85965160760918</v>
      </c>
      <c r="C373">
        <f>Data_inputs!B373*K_factor</f>
        <v>2309.3711025135385</v>
      </c>
      <c r="D373">
        <f>Data_inputs!C373*K_factor</f>
        <v>1227.9873162011161</v>
      </c>
      <c r="E373">
        <f t="shared" si="10"/>
        <v>1081.3837863124224</v>
      </c>
      <c r="F373">
        <f>Data_inputs!G373-Data_inputs!H373</f>
        <v>364.56423515957476</v>
      </c>
      <c r="G373">
        <f t="shared" si="11"/>
        <v>776.26535544420983</v>
      </c>
    </row>
    <row r="374" spans="1:7" x14ac:dyDescent="0.3">
      <c r="A374">
        <f>Data_inputs!A374</f>
        <v>371</v>
      </c>
      <c r="B374">
        <f>Data_inputs!B374-Data_inputs!C374</f>
        <v>380.09793374371554</v>
      </c>
      <c r="C374">
        <f>Data_inputs!B374*K_factor</f>
        <v>2348.368911847333</v>
      </c>
      <c r="D374">
        <f>Data_inputs!C374*K_factor</f>
        <v>1539.0277061417746</v>
      </c>
      <c r="E374">
        <f t="shared" si="10"/>
        <v>809.34120570555842</v>
      </c>
      <c r="F374">
        <f>Data_inputs!G374-Data_inputs!H374</f>
        <v>344.04738863467901</v>
      </c>
      <c r="G374">
        <f t="shared" si="11"/>
        <v>732.57890563853641</v>
      </c>
    </row>
    <row r="375" spans="1:7" x14ac:dyDescent="0.3">
      <c r="A375">
        <f>Data_inputs!A375</f>
        <v>372</v>
      </c>
      <c r="B375">
        <f>Data_inputs!B375-Data_inputs!C375</f>
        <v>590.96729137706996</v>
      </c>
      <c r="C375">
        <f>Data_inputs!B375*K_factor</f>
        <v>2606.3411448131933</v>
      </c>
      <c r="D375">
        <f>Data_inputs!C375*K_factor</f>
        <v>1347.9965507640184</v>
      </c>
      <c r="E375">
        <f t="shared" si="10"/>
        <v>1258.3445940491749</v>
      </c>
      <c r="F375">
        <f>Data_inputs!G375-Data_inputs!H375</f>
        <v>468.8677601657173</v>
      </c>
      <c r="G375">
        <f t="shared" si="11"/>
        <v>998.3584877492392</v>
      </c>
    </row>
    <row r="376" spans="1:7" x14ac:dyDescent="0.3">
      <c r="A376">
        <f>Data_inputs!A376</f>
        <v>373</v>
      </c>
      <c r="B376">
        <f>Data_inputs!B376-Data_inputs!C376</f>
        <v>439.78081262349588</v>
      </c>
      <c r="C376">
        <f>Data_inputs!B376*K_factor</f>
        <v>2168.5411141920849</v>
      </c>
      <c r="D376">
        <f>Data_inputs!C376*K_factor</f>
        <v>1232.1173624785033</v>
      </c>
      <c r="E376">
        <f t="shared" si="10"/>
        <v>936.42375171358162</v>
      </c>
      <c r="F376">
        <f>Data_inputs!G376-Data_inputs!H376</f>
        <v>161.20755666156197</v>
      </c>
      <c r="G376">
        <f t="shared" si="11"/>
        <v>343.2586886023106</v>
      </c>
    </row>
    <row r="377" spans="1:7" x14ac:dyDescent="0.3">
      <c r="A377">
        <f>Data_inputs!A377</f>
        <v>374</v>
      </c>
      <c r="B377">
        <f>Data_inputs!B377-Data_inputs!C377</f>
        <v>191.84032816067759</v>
      </c>
      <c r="C377">
        <f>Data_inputs!B377*K_factor</f>
        <v>1862.5277167578088</v>
      </c>
      <c r="D377">
        <f>Data_inputs!C377*K_factor</f>
        <v>1454.0427745555151</v>
      </c>
      <c r="E377">
        <f t="shared" si="10"/>
        <v>408.48494220229372</v>
      </c>
      <c r="F377">
        <f>Data_inputs!G377-Data_inputs!H377</f>
        <v>265.46034750768604</v>
      </c>
      <c r="G377">
        <f t="shared" si="11"/>
        <v>565.2437928372176</v>
      </c>
    </row>
    <row r="378" spans="1:7" x14ac:dyDescent="0.3">
      <c r="A378">
        <f>Data_inputs!A378</f>
        <v>375</v>
      </c>
      <c r="B378">
        <f>Data_inputs!B378-Data_inputs!C378</f>
        <v>484.08539319430167</v>
      </c>
      <c r="C378">
        <f>Data_inputs!B378*K_factor</f>
        <v>2821.9920093647747</v>
      </c>
      <c r="D378">
        <f>Data_inputs!C378*K_factor</f>
        <v>1791.2306686401662</v>
      </c>
      <c r="E378">
        <f t="shared" si="10"/>
        <v>1030.7613407246085</v>
      </c>
      <c r="F378">
        <f>Data_inputs!G378-Data_inputs!H378</f>
        <v>561.06394103511184</v>
      </c>
      <c r="G378">
        <f t="shared" si="11"/>
        <v>1194.6714943771456</v>
      </c>
    </row>
    <row r="379" spans="1:7" x14ac:dyDescent="0.3">
      <c r="A379">
        <f>Data_inputs!A379</f>
        <v>376</v>
      </c>
      <c r="B379">
        <f>Data_inputs!B379-Data_inputs!C379</f>
        <v>238.0516856148887</v>
      </c>
      <c r="C379">
        <f>Data_inputs!B379*K_factor</f>
        <v>1928.449548471955</v>
      </c>
      <c r="D379">
        <f>Data_inputs!C379*K_factor</f>
        <v>1421.5669238857852</v>
      </c>
      <c r="E379">
        <f t="shared" si="10"/>
        <v>506.88262458616987</v>
      </c>
      <c r="F379">
        <f>Data_inputs!G379-Data_inputs!H379</f>
        <v>184.04348614039009</v>
      </c>
      <c r="G379">
        <f t="shared" si="11"/>
        <v>391.88315365994902</v>
      </c>
    </row>
    <row r="380" spans="1:7" x14ac:dyDescent="0.3">
      <c r="A380">
        <f>Data_inputs!A380</f>
        <v>377</v>
      </c>
      <c r="B380">
        <f>Data_inputs!B380-Data_inputs!C380</f>
        <v>451.10368027516824</v>
      </c>
      <c r="C380">
        <f>Data_inputs!B380*K_factor</f>
        <v>2782.1950421616084</v>
      </c>
      <c r="D380">
        <f>Data_inputs!C380*K_factor</f>
        <v>1821.6615478167289</v>
      </c>
      <c r="E380">
        <f t="shared" si="10"/>
        <v>960.5334943448795</v>
      </c>
      <c r="F380">
        <f>Data_inputs!G380-Data_inputs!H380</f>
        <v>328.61948019706824</v>
      </c>
      <c r="G380">
        <f t="shared" si="11"/>
        <v>699.72831396752258</v>
      </c>
    </row>
    <row r="381" spans="1:7" x14ac:dyDescent="0.3">
      <c r="A381">
        <f>Data_inputs!A381</f>
        <v>378</v>
      </c>
      <c r="B381">
        <f>Data_inputs!B381-Data_inputs!C381</f>
        <v>271.17372874430248</v>
      </c>
      <c r="C381">
        <f>Data_inputs!B381*K_factor</f>
        <v>2003.4967267593979</v>
      </c>
      <c r="D381">
        <f>Data_inputs!C381*K_factor</f>
        <v>1426.0874511657903</v>
      </c>
      <c r="E381">
        <f t="shared" si="10"/>
        <v>577.40927559360762</v>
      </c>
      <c r="F381">
        <f>Data_inputs!G381-Data_inputs!H381</f>
        <v>318.1467372435759</v>
      </c>
      <c r="G381">
        <f t="shared" si="11"/>
        <v>677.42873889343412</v>
      </c>
    </row>
    <row r="382" spans="1:7" x14ac:dyDescent="0.3">
      <c r="A382">
        <f>Data_inputs!A382</f>
        <v>379</v>
      </c>
      <c r="B382">
        <f>Data_inputs!B382-Data_inputs!C382</f>
        <v>255.91509191748139</v>
      </c>
      <c r="C382">
        <f>Data_inputs!B382*K_factor</f>
        <v>1310.1097727181957</v>
      </c>
      <c r="D382">
        <f>Data_inputs!C382*K_factor</f>
        <v>765.19065934464709</v>
      </c>
      <c r="E382">
        <f t="shared" si="10"/>
        <v>544.91911337354861</v>
      </c>
      <c r="F382">
        <f>Data_inputs!G382-Data_inputs!H382</f>
        <v>178.57090976570112</v>
      </c>
      <c r="G382">
        <f t="shared" si="11"/>
        <v>380.23041585687287</v>
      </c>
    </row>
    <row r="383" spans="1:7" x14ac:dyDescent="0.3">
      <c r="A383">
        <f>Data_inputs!A383</f>
        <v>380</v>
      </c>
      <c r="B383">
        <f>Data_inputs!B383-Data_inputs!C383</f>
        <v>768.55388840673095</v>
      </c>
      <c r="C383">
        <f>Data_inputs!B383*K_factor</f>
        <v>3930.6495041943422</v>
      </c>
      <c r="D383">
        <f>Data_inputs!C383*K_factor</f>
        <v>2294.1703879668826</v>
      </c>
      <c r="E383">
        <f t="shared" si="10"/>
        <v>1636.4791162274596</v>
      </c>
      <c r="F383">
        <f>Data_inputs!G383-Data_inputs!H383</f>
        <v>535.85727115195414</v>
      </c>
      <c r="G383">
        <f t="shared" si="11"/>
        <v>1140.9990200384341</v>
      </c>
    </row>
    <row r="384" spans="1:7" x14ac:dyDescent="0.3">
      <c r="A384">
        <f>Data_inputs!A384</f>
        <v>381</v>
      </c>
      <c r="B384">
        <f>Data_inputs!B384-Data_inputs!C384</f>
        <v>35.556363421310266</v>
      </c>
      <c r="C384">
        <f>Data_inputs!B384*K_factor</f>
        <v>2164.6093247845338</v>
      </c>
      <c r="D384">
        <f>Data_inputs!C384*K_factor</f>
        <v>2088.899284062998</v>
      </c>
      <c r="E384">
        <f t="shared" si="10"/>
        <v>75.710040721535734</v>
      </c>
      <c r="F384">
        <f>Data_inputs!G384-Data_inputs!H384</f>
        <v>389.6273915994102</v>
      </c>
      <c r="G384">
        <f t="shared" si="11"/>
        <v>829.63224710818974</v>
      </c>
    </row>
    <row r="385" spans="1:7" x14ac:dyDescent="0.3">
      <c r="A385">
        <f>Data_inputs!A385</f>
        <v>382</v>
      </c>
      <c r="B385">
        <f>Data_inputs!B385-Data_inputs!C385</f>
        <v>519.69542741558018</v>
      </c>
      <c r="C385">
        <f>Data_inputs!B385*K_factor</f>
        <v>2720.3221224886938</v>
      </c>
      <c r="D385">
        <f>Data_inputs!C385*K_factor</f>
        <v>1613.7364599952164</v>
      </c>
      <c r="E385">
        <f t="shared" si="10"/>
        <v>1106.5856624934775</v>
      </c>
      <c r="F385">
        <f>Data_inputs!G385-Data_inputs!H385</f>
        <v>319.66013703848284</v>
      </c>
      <c r="G385">
        <f t="shared" si="11"/>
        <v>680.65121580263622</v>
      </c>
    </row>
    <row r="386" spans="1:7" x14ac:dyDescent="0.3">
      <c r="A386">
        <f>Data_inputs!A386</f>
        <v>383</v>
      </c>
      <c r="B386">
        <f>Data_inputs!B386-Data_inputs!C386</f>
        <v>625.74687425881712</v>
      </c>
      <c r="C386">
        <f>Data_inputs!B386*K_factor</f>
        <v>3631.5292766750931</v>
      </c>
      <c r="D386">
        <f>Data_inputs!C386*K_factor</f>
        <v>2299.1286380002475</v>
      </c>
      <c r="E386">
        <f t="shared" si="10"/>
        <v>1332.4006386748456</v>
      </c>
      <c r="F386">
        <f>Data_inputs!G386-Data_inputs!H386</f>
        <v>889.16494003506705</v>
      </c>
      <c r="G386">
        <f t="shared" si="11"/>
        <v>1893.2958081385264</v>
      </c>
    </row>
    <row r="387" spans="1:7" x14ac:dyDescent="0.3">
      <c r="A387">
        <f>Data_inputs!A387</f>
        <v>384</v>
      </c>
      <c r="B387">
        <f>Data_inputs!B387-Data_inputs!C387</f>
        <v>461.76364825442329</v>
      </c>
      <c r="C387">
        <f>Data_inputs!B387*K_factor</f>
        <v>2874.4070038055779</v>
      </c>
      <c r="D387">
        <f>Data_inputs!C387*K_factor</f>
        <v>1891.1752767917196</v>
      </c>
      <c r="E387">
        <f t="shared" si="10"/>
        <v>983.23172701385829</v>
      </c>
      <c r="F387">
        <f>Data_inputs!G387-Data_inputs!H387</f>
        <v>431.28780162225485</v>
      </c>
      <c r="G387">
        <f t="shared" si="11"/>
        <v>918.33961298619352</v>
      </c>
    </row>
    <row r="388" spans="1:7" x14ac:dyDescent="0.3">
      <c r="A388">
        <f>Data_inputs!A388</f>
        <v>385</v>
      </c>
      <c r="B388">
        <f>Data_inputs!B388-Data_inputs!C388</f>
        <v>587.35225741095314</v>
      </c>
      <c r="C388">
        <f>Data_inputs!B388*K_factor</f>
        <v>3261.1725034377473</v>
      </c>
      <c r="D388">
        <f>Data_inputs!C388*K_factor</f>
        <v>2010.5253886144822</v>
      </c>
      <c r="E388">
        <f t="shared" ref="E388:E451" si="12">C388-D388</f>
        <v>1250.6471148232652</v>
      </c>
      <c r="F388">
        <f>Data_inputs!G388-Data_inputs!H388</f>
        <v>-63.49652610118892</v>
      </c>
      <c r="G388">
        <f t="shared" ref="G388:G451" si="13">F388*K_factor</f>
        <v>-135.20293174627236</v>
      </c>
    </row>
    <row r="389" spans="1:7" x14ac:dyDescent="0.3">
      <c r="A389">
        <f>Data_inputs!A389</f>
        <v>386</v>
      </c>
      <c r="B389">
        <f>Data_inputs!B389-Data_inputs!C389</f>
        <v>487.1463216477697</v>
      </c>
      <c r="C389">
        <f>Data_inputs!B389*K_factor</f>
        <v>2488.8662012633849</v>
      </c>
      <c r="D389">
        <f>Data_inputs!C389*K_factor</f>
        <v>1451.5872362499306</v>
      </c>
      <c r="E389">
        <f t="shared" si="12"/>
        <v>1037.2789650134544</v>
      </c>
      <c r="F389">
        <f>Data_inputs!G389-Data_inputs!H389</f>
        <v>373.09533808540618</v>
      </c>
      <c r="G389">
        <f t="shared" si="13"/>
        <v>794.43060317388074</v>
      </c>
    </row>
    <row r="390" spans="1:7" x14ac:dyDescent="0.3">
      <c r="A390">
        <f>Data_inputs!A390</f>
        <v>387</v>
      </c>
      <c r="B390">
        <f>Data_inputs!B390-Data_inputs!C390</f>
        <v>242.97317341327926</v>
      </c>
      <c r="C390">
        <f>Data_inputs!B390*K_factor</f>
        <v>2606.0280025892753</v>
      </c>
      <c r="D390">
        <f>Data_inputs!C390*K_factor</f>
        <v>2088.6660711850359</v>
      </c>
      <c r="E390">
        <f t="shared" si="12"/>
        <v>517.36193140423939</v>
      </c>
      <c r="F390">
        <f>Data_inputs!G390-Data_inputs!H390</f>
        <v>472.12932731600222</v>
      </c>
      <c r="G390">
        <f t="shared" si="13"/>
        <v>1005.3033313160056</v>
      </c>
    </row>
    <row r="391" spans="1:7" x14ac:dyDescent="0.3">
      <c r="A391">
        <f>Data_inputs!A391</f>
        <v>388</v>
      </c>
      <c r="B391">
        <f>Data_inputs!B391-Data_inputs!C391</f>
        <v>554.94844277111974</v>
      </c>
      <c r="C391">
        <f>Data_inputs!B391*K_factor</f>
        <v>2457.2948769682334</v>
      </c>
      <c r="D391">
        <f>Data_inputs!C391*K_factor</f>
        <v>1275.6450917325189</v>
      </c>
      <c r="E391">
        <f t="shared" si="12"/>
        <v>1181.6497852357145</v>
      </c>
      <c r="F391">
        <f>Data_inputs!G391-Data_inputs!H391</f>
        <v>408.57836644538338</v>
      </c>
      <c r="G391">
        <f t="shared" si="13"/>
        <v>869.98449180488751</v>
      </c>
    </row>
    <row r="392" spans="1:7" x14ac:dyDescent="0.3">
      <c r="A392">
        <f>Data_inputs!A392</f>
        <v>389</v>
      </c>
      <c r="B392">
        <f>Data_inputs!B392-Data_inputs!C392</f>
        <v>314.5239135813066</v>
      </c>
      <c r="C392">
        <f>Data_inputs!B392*K_factor</f>
        <v>2685.2499960231839</v>
      </c>
      <c r="D392">
        <f>Data_inputs!C392*K_factor</f>
        <v>2015.5353229285306</v>
      </c>
      <c r="E392">
        <f t="shared" si="12"/>
        <v>669.71467309465334</v>
      </c>
      <c r="F392">
        <f>Data_inputs!G392-Data_inputs!H392</f>
        <v>390.39930663989799</v>
      </c>
      <c r="G392">
        <f t="shared" si="13"/>
        <v>831.27588311382999</v>
      </c>
    </row>
    <row r="393" spans="1:7" x14ac:dyDescent="0.3">
      <c r="A393">
        <f>Data_inputs!A393</f>
        <v>390</v>
      </c>
      <c r="B393">
        <f>Data_inputs!B393-Data_inputs!C393</f>
        <v>666.00443813555762</v>
      </c>
      <c r="C393">
        <f>Data_inputs!B393*K_factor</f>
        <v>3363.3604336901858</v>
      </c>
      <c r="D393">
        <f>Data_inputs!C393*K_factor</f>
        <v>1945.2395045474143</v>
      </c>
      <c r="E393">
        <f t="shared" si="12"/>
        <v>1418.1209291427715</v>
      </c>
      <c r="F393">
        <f>Data_inputs!G393-Data_inputs!H393</f>
        <v>429.62407872523409</v>
      </c>
      <c r="G393">
        <f t="shared" si="13"/>
        <v>914.79705361952608</v>
      </c>
    </row>
    <row r="394" spans="1:7" x14ac:dyDescent="0.3">
      <c r="A394">
        <f>Data_inputs!A394</f>
        <v>391</v>
      </c>
      <c r="B394">
        <f>Data_inputs!B394-Data_inputs!C394</f>
        <v>298.71547010124289</v>
      </c>
      <c r="C394">
        <f>Data_inputs!B394*K_factor</f>
        <v>1780.3951062848705</v>
      </c>
      <c r="D394">
        <f>Data_inputs!C394*K_factor</f>
        <v>1144.3412968009879</v>
      </c>
      <c r="E394">
        <f t="shared" si="12"/>
        <v>636.05380948388256</v>
      </c>
      <c r="F394">
        <f>Data_inputs!G394-Data_inputs!H394</f>
        <v>382.55017017550404</v>
      </c>
      <c r="G394">
        <f t="shared" si="13"/>
        <v>814.56274419389206</v>
      </c>
    </row>
    <row r="395" spans="1:7" x14ac:dyDescent="0.3">
      <c r="A395">
        <f>Data_inputs!A395</f>
        <v>392</v>
      </c>
      <c r="B395">
        <f>Data_inputs!B395-Data_inputs!C395</f>
        <v>417.22183385769915</v>
      </c>
      <c r="C395">
        <f>Data_inputs!B395*K_factor</f>
        <v>2261.8332694525429</v>
      </c>
      <c r="D395">
        <f>Data_inputs!C395*K_factor</f>
        <v>1373.4442726084958</v>
      </c>
      <c r="E395">
        <f t="shared" si="12"/>
        <v>888.38899684404714</v>
      </c>
      <c r="F395">
        <f>Data_inputs!G395-Data_inputs!H395</f>
        <v>207.37652659231662</v>
      </c>
      <c r="G395">
        <f t="shared" si="13"/>
        <v>441.56611538020866</v>
      </c>
    </row>
    <row r="396" spans="1:7" x14ac:dyDescent="0.3">
      <c r="A396">
        <f>Data_inputs!A396</f>
        <v>393</v>
      </c>
      <c r="B396">
        <f>Data_inputs!B396-Data_inputs!C396</f>
        <v>526.28916896655539</v>
      </c>
      <c r="C396">
        <f>Data_inputs!B396*K_factor</f>
        <v>2252.7369704808675</v>
      </c>
      <c r="D396">
        <f>Data_inputs!C396*K_factor</f>
        <v>1132.1112770816305</v>
      </c>
      <c r="E396">
        <f t="shared" si="12"/>
        <v>1120.625693399237</v>
      </c>
      <c r="F396">
        <f>Data_inputs!G396-Data_inputs!H396</f>
        <v>420.06171499695893</v>
      </c>
      <c r="G396">
        <f t="shared" si="13"/>
        <v>894.43594585708411</v>
      </c>
    </row>
    <row r="397" spans="1:7" x14ac:dyDescent="0.3">
      <c r="A397">
        <f>Data_inputs!A397</f>
        <v>394</v>
      </c>
      <c r="B397">
        <f>Data_inputs!B397-Data_inputs!C397</f>
        <v>93.52046576283999</v>
      </c>
      <c r="C397">
        <f>Data_inputs!B397*K_factor</f>
        <v>2340.0968588388905</v>
      </c>
      <c r="D397">
        <f>Data_inputs!C397*K_factor</f>
        <v>2140.9640570024117</v>
      </c>
      <c r="E397">
        <f t="shared" si="12"/>
        <v>199.13280183647885</v>
      </c>
      <c r="F397">
        <f>Data_inputs!G397-Data_inputs!H397</f>
        <v>250.69315629510083</v>
      </c>
      <c r="G397">
        <f t="shared" si="13"/>
        <v>533.80006405089705</v>
      </c>
    </row>
    <row r="398" spans="1:7" x14ac:dyDescent="0.3">
      <c r="A398">
        <f>Data_inputs!A398</f>
        <v>395</v>
      </c>
      <c r="B398">
        <f>Data_inputs!B398-Data_inputs!C398</f>
        <v>257.56877358603259</v>
      </c>
      <c r="C398">
        <f>Data_inputs!B398*K_factor</f>
        <v>1453.1750786272842</v>
      </c>
      <c r="D398">
        <f>Data_inputs!C398*K_factor</f>
        <v>904.73478663985543</v>
      </c>
      <c r="E398">
        <f t="shared" si="12"/>
        <v>548.44029198742874</v>
      </c>
      <c r="F398">
        <f>Data_inputs!G398-Data_inputs!H398</f>
        <v>268.91535159783132</v>
      </c>
      <c r="G398">
        <f t="shared" si="13"/>
        <v>572.6005210059144</v>
      </c>
    </row>
    <row r="399" spans="1:7" x14ac:dyDescent="0.3">
      <c r="A399">
        <f>Data_inputs!A399</f>
        <v>396</v>
      </c>
      <c r="B399">
        <f>Data_inputs!B399-Data_inputs!C399</f>
        <v>454.04740148585495</v>
      </c>
      <c r="C399">
        <f>Data_inputs!B399*K_factor</f>
        <v>3134.6826852279951</v>
      </c>
      <c r="D399">
        <f>Data_inputs!C399*K_factor</f>
        <v>2167.8811355678645</v>
      </c>
      <c r="E399">
        <f t="shared" si="12"/>
        <v>966.8015496601306</v>
      </c>
      <c r="F399">
        <f>Data_inputs!G399-Data_inputs!H399</f>
        <v>572.45873705030135</v>
      </c>
      <c r="G399">
        <f t="shared" si="13"/>
        <v>1218.9343938222148</v>
      </c>
    </row>
    <row r="400" spans="1:7" x14ac:dyDescent="0.3">
      <c r="A400">
        <f>Data_inputs!A400</f>
        <v>397</v>
      </c>
      <c r="B400">
        <f>Data_inputs!B400-Data_inputs!C400</f>
        <v>290.3890503715794</v>
      </c>
      <c r="C400">
        <f>Data_inputs!B400*K_factor</f>
        <v>1688.9449540993621</v>
      </c>
      <c r="D400">
        <f>Data_inputs!C400*K_factor</f>
        <v>1070.6205611288567</v>
      </c>
      <c r="E400">
        <f t="shared" si="12"/>
        <v>618.32439297050541</v>
      </c>
      <c r="F400">
        <f>Data_inputs!G400-Data_inputs!H400</f>
        <v>284.86139830730394</v>
      </c>
      <c r="G400">
        <f t="shared" si="13"/>
        <v>606.55438269352771</v>
      </c>
    </row>
    <row r="401" spans="1:7" x14ac:dyDescent="0.3">
      <c r="A401">
        <f>Data_inputs!A401</f>
        <v>398</v>
      </c>
      <c r="B401">
        <f>Data_inputs!B401-Data_inputs!C401</f>
        <v>276.41200102386017</v>
      </c>
      <c r="C401">
        <f>Data_inputs!B401*K_factor</f>
        <v>1952.3481280604337</v>
      </c>
      <c r="D401">
        <f>Data_inputs!C401*K_factor</f>
        <v>1363.7850175569793</v>
      </c>
      <c r="E401">
        <f t="shared" si="12"/>
        <v>588.56311050345448</v>
      </c>
      <c r="F401">
        <f>Data_inputs!G401-Data_inputs!H401</f>
        <v>147.44107190750401</v>
      </c>
      <c r="G401">
        <f t="shared" si="13"/>
        <v>313.9457605907395</v>
      </c>
    </row>
    <row r="402" spans="1:7" x14ac:dyDescent="0.3">
      <c r="A402">
        <f>Data_inputs!A402</f>
        <v>399</v>
      </c>
      <c r="B402">
        <f>Data_inputs!B402-Data_inputs!C402</f>
        <v>1050.0170306859304</v>
      </c>
      <c r="C402">
        <f>Data_inputs!B402*K_factor</f>
        <v>4160.3247241808558</v>
      </c>
      <c r="D402">
        <f>Data_inputs!C402*K_factor</f>
        <v>1924.5271199778247</v>
      </c>
      <c r="E402">
        <f t="shared" si="12"/>
        <v>2235.7976042030314</v>
      </c>
      <c r="F402">
        <f>Data_inputs!G402-Data_inputs!H402</f>
        <v>108.47073500770693</v>
      </c>
      <c r="G402">
        <f t="shared" si="13"/>
        <v>230.96635803892261</v>
      </c>
    </row>
    <row r="403" spans="1:7" x14ac:dyDescent="0.3">
      <c r="A403">
        <f>Data_inputs!A403</f>
        <v>400</v>
      </c>
      <c r="B403">
        <f>Data_inputs!B403-Data_inputs!C403</f>
        <v>215.97823145309121</v>
      </c>
      <c r="C403">
        <f>Data_inputs!B403*K_factor</f>
        <v>1908.0525472178938</v>
      </c>
      <c r="D403">
        <f>Data_inputs!C403*K_factor</f>
        <v>1448.1708516539825</v>
      </c>
      <c r="E403">
        <f t="shared" si="12"/>
        <v>459.88169556391131</v>
      </c>
      <c r="F403">
        <f>Data_inputs!G403-Data_inputs!H403</f>
        <v>294.17420126582783</v>
      </c>
      <c r="G403">
        <f t="shared" si="13"/>
        <v>626.3841015786403</v>
      </c>
    </row>
    <row r="404" spans="1:7" x14ac:dyDescent="0.3">
      <c r="A404">
        <f>Data_inputs!A404</f>
        <v>401</v>
      </c>
      <c r="B404">
        <f>Data_inputs!B404-Data_inputs!C404</f>
        <v>509.17748608150157</v>
      </c>
      <c r="C404">
        <f>Data_inputs!B404*K_factor</f>
        <v>2631.3923984814837</v>
      </c>
      <c r="D404">
        <f>Data_inputs!C404*K_factor</f>
        <v>1547.2025518163639</v>
      </c>
      <c r="E404">
        <f t="shared" si="12"/>
        <v>1084.1898466651198</v>
      </c>
      <c r="F404">
        <f>Data_inputs!G404-Data_inputs!H404</f>
        <v>418.72254682217726</v>
      </c>
      <c r="G404">
        <f t="shared" si="13"/>
        <v>891.5844597294298</v>
      </c>
    </row>
    <row r="405" spans="1:7" x14ac:dyDescent="0.3">
      <c r="A405">
        <f>Data_inputs!A405</f>
        <v>402</v>
      </c>
      <c r="B405">
        <f>Data_inputs!B405-Data_inputs!C405</f>
        <v>196.71640970549959</v>
      </c>
      <c r="C405">
        <f>Data_inputs!B405*K_factor</f>
        <v>1981.1024252504415</v>
      </c>
      <c r="D405">
        <f>Data_inputs!C405*K_factor</f>
        <v>1562.2348596075642</v>
      </c>
      <c r="E405">
        <f t="shared" si="12"/>
        <v>418.86756564287725</v>
      </c>
      <c r="F405">
        <f>Data_inputs!G405-Data_inputs!H405</f>
        <v>139.3151735722472</v>
      </c>
      <c r="G405">
        <f t="shared" si="13"/>
        <v>296.64331358366923</v>
      </c>
    </row>
    <row r="406" spans="1:7" x14ac:dyDescent="0.3">
      <c r="A406">
        <f>Data_inputs!A406</f>
        <v>403</v>
      </c>
      <c r="B406">
        <f>Data_inputs!B406-Data_inputs!C406</f>
        <v>312.88003610675048</v>
      </c>
      <c r="C406">
        <f>Data_inputs!B406*K_factor</f>
        <v>2307.8258703328779</v>
      </c>
      <c r="D406">
        <f>Data_inputs!C406*K_factor</f>
        <v>1641.6114998159981</v>
      </c>
      <c r="E406">
        <f t="shared" si="12"/>
        <v>666.21437051687985</v>
      </c>
      <c r="F406">
        <f>Data_inputs!G406-Data_inputs!H406</f>
        <v>391.15590999716505</v>
      </c>
      <c r="G406">
        <f t="shared" si="13"/>
        <v>832.8869160057485</v>
      </c>
    </row>
    <row r="407" spans="1:7" x14ac:dyDescent="0.3">
      <c r="A407">
        <f>Data_inputs!A407</f>
        <v>404</v>
      </c>
      <c r="B407">
        <f>Data_inputs!B407-Data_inputs!C407</f>
        <v>161.71658792201123</v>
      </c>
      <c r="C407">
        <f>Data_inputs!B407*K_factor</f>
        <v>1364.0182430710943</v>
      </c>
      <c r="D407">
        <f>Data_inputs!C407*K_factor</f>
        <v>1019.6756759798476</v>
      </c>
      <c r="E407">
        <f t="shared" si="12"/>
        <v>344.34256709124668</v>
      </c>
      <c r="F407">
        <f>Data_inputs!G407-Data_inputs!H407</f>
        <v>292.25332270199897</v>
      </c>
      <c r="G407">
        <f t="shared" si="13"/>
        <v>622.29398154680803</v>
      </c>
    </row>
    <row r="408" spans="1:7" x14ac:dyDescent="0.3">
      <c r="A408">
        <f>Data_inputs!A408</f>
        <v>405</v>
      </c>
      <c r="B408">
        <f>Data_inputs!B408-Data_inputs!C408</f>
        <v>177.18017483806568</v>
      </c>
      <c r="C408">
        <f>Data_inputs!B408*K_factor</f>
        <v>1377.4187567778292</v>
      </c>
      <c r="D408">
        <f>Data_inputs!C408*K_factor</f>
        <v>1000.1496279557558</v>
      </c>
      <c r="E408">
        <f t="shared" si="12"/>
        <v>377.26912882207341</v>
      </c>
      <c r="F408">
        <f>Data_inputs!G408-Data_inputs!H408</f>
        <v>200.55315847904876</v>
      </c>
      <c r="G408">
        <f t="shared" si="13"/>
        <v>427.03714143559199</v>
      </c>
    </row>
    <row r="409" spans="1:7" x14ac:dyDescent="0.3">
      <c r="A409">
        <f>Data_inputs!A409</f>
        <v>406</v>
      </c>
      <c r="B409">
        <f>Data_inputs!B409-Data_inputs!C409</f>
        <v>301.95798473770378</v>
      </c>
      <c r="C409">
        <f>Data_inputs!B409*K_factor</f>
        <v>2098.8874654553115</v>
      </c>
      <c r="D409">
        <f>Data_inputs!C409*K_factor</f>
        <v>1455.9293808559512</v>
      </c>
      <c r="E409">
        <f t="shared" si="12"/>
        <v>642.95808459936029</v>
      </c>
      <c r="F409">
        <f>Data_inputs!G409-Data_inputs!H409</f>
        <v>297.6198448840812</v>
      </c>
      <c r="G409">
        <f t="shared" si="13"/>
        <v>633.72089852715817</v>
      </c>
    </row>
    <row r="410" spans="1:7" x14ac:dyDescent="0.3">
      <c r="A410">
        <f>Data_inputs!A410</f>
        <v>407</v>
      </c>
      <c r="B410">
        <f>Data_inputs!B410-Data_inputs!C410</f>
        <v>1521.7122616314477</v>
      </c>
      <c r="C410">
        <f>Data_inputs!B410*K_factor</f>
        <v>5079.3994936987274</v>
      </c>
      <c r="D410">
        <f>Data_inputs!C410*K_factor</f>
        <v>1839.2228780685691</v>
      </c>
      <c r="E410">
        <f t="shared" si="12"/>
        <v>3240.1766156301583</v>
      </c>
      <c r="F410">
        <f>Data_inputs!G410-Data_inputs!H410</f>
        <v>117.37027739379687</v>
      </c>
      <c r="G410">
        <f t="shared" si="13"/>
        <v>249.91612262733599</v>
      </c>
    </row>
    <row r="411" spans="1:7" x14ac:dyDescent="0.3">
      <c r="A411">
        <f>Data_inputs!A411</f>
        <v>408</v>
      </c>
      <c r="B411">
        <f>Data_inputs!B411-Data_inputs!C411</f>
        <v>200.83225738648127</v>
      </c>
      <c r="C411">
        <f>Data_inputs!B411*K_factor</f>
        <v>1476.0825652173858</v>
      </c>
      <c r="D411">
        <f>Data_inputs!C411*K_factor</f>
        <v>1048.4511394508381</v>
      </c>
      <c r="E411">
        <f t="shared" si="12"/>
        <v>427.63142576654764</v>
      </c>
      <c r="F411">
        <f>Data_inputs!G411-Data_inputs!H411</f>
        <v>256.50810526177497</v>
      </c>
      <c r="G411">
        <f t="shared" si="13"/>
        <v>546.18181462094253</v>
      </c>
    </row>
    <row r="412" spans="1:7" x14ac:dyDescent="0.3">
      <c r="A412">
        <f>Data_inputs!A412</f>
        <v>409</v>
      </c>
      <c r="B412">
        <f>Data_inputs!B412-Data_inputs!C412</f>
        <v>211.19602721597505</v>
      </c>
      <c r="C412">
        <f>Data_inputs!B412*K_factor</f>
        <v>1848.6086729928261</v>
      </c>
      <c r="D412">
        <f>Data_inputs!C412*K_factor</f>
        <v>1398.9097082453563</v>
      </c>
      <c r="E412">
        <f t="shared" si="12"/>
        <v>449.69896474746974</v>
      </c>
      <c r="F412">
        <f>Data_inputs!G412-Data_inputs!H412</f>
        <v>257.05416323686995</v>
      </c>
      <c r="G412">
        <f t="shared" si="13"/>
        <v>547.3445339643381</v>
      </c>
    </row>
    <row r="413" spans="1:7" x14ac:dyDescent="0.3">
      <c r="A413">
        <f>Data_inputs!A413</f>
        <v>410</v>
      </c>
      <c r="B413">
        <f>Data_inputs!B413-Data_inputs!C413</f>
        <v>518.95404112296387</v>
      </c>
      <c r="C413">
        <f>Data_inputs!B413*K_factor</f>
        <v>2632.2505995528213</v>
      </c>
      <c r="D413">
        <f>Data_inputs!C413*K_factor</f>
        <v>1527.2435683085318</v>
      </c>
      <c r="E413">
        <f t="shared" si="12"/>
        <v>1105.0070312442895</v>
      </c>
      <c r="F413">
        <f>Data_inputs!G413-Data_inputs!H413</f>
        <v>432.19050031454117</v>
      </c>
      <c r="G413">
        <f t="shared" si="13"/>
        <v>920.26172616583642</v>
      </c>
    </row>
    <row r="414" spans="1:7" x14ac:dyDescent="0.3">
      <c r="A414">
        <f>Data_inputs!A414</f>
        <v>411</v>
      </c>
      <c r="B414">
        <f>Data_inputs!B414-Data_inputs!C414</f>
        <v>543.63149346999819</v>
      </c>
      <c r="C414">
        <f>Data_inputs!B414*K_factor</f>
        <v>2721.7983698997004</v>
      </c>
      <c r="D414">
        <f>Data_inputs!C414*K_factor</f>
        <v>1564.2457253720809</v>
      </c>
      <c r="E414">
        <f t="shared" si="12"/>
        <v>1157.5526445276196</v>
      </c>
      <c r="F414">
        <f>Data_inputs!G414-Data_inputs!H414</f>
        <v>623.2477990863631</v>
      </c>
      <c r="G414">
        <f t="shared" si="13"/>
        <v>1327.0793666192428</v>
      </c>
    </row>
    <row r="415" spans="1:7" x14ac:dyDescent="0.3">
      <c r="A415">
        <f>Data_inputs!A415</f>
        <v>412</v>
      </c>
      <c r="B415">
        <f>Data_inputs!B415-Data_inputs!C415</f>
        <v>504.17726329730908</v>
      </c>
      <c r="C415">
        <f>Data_inputs!B415*K_factor</f>
        <v>3975.1799019624868</v>
      </c>
      <c r="D415">
        <f>Data_inputs!C415*K_factor</f>
        <v>2901.6370122463181</v>
      </c>
      <c r="E415">
        <f t="shared" si="12"/>
        <v>1073.5428897161687</v>
      </c>
      <c r="F415">
        <f>Data_inputs!G415-Data_inputs!H415</f>
        <v>20.253931421293146</v>
      </c>
      <c r="G415">
        <f t="shared" si="13"/>
        <v>43.126625591813344</v>
      </c>
    </row>
    <row r="416" spans="1:7" x14ac:dyDescent="0.3">
      <c r="A416">
        <f>Data_inputs!A416</f>
        <v>413</v>
      </c>
      <c r="B416">
        <f>Data_inputs!B416-Data_inputs!C416</f>
        <v>785.35729682752992</v>
      </c>
      <c r="C416">
        <f>Data_inputs!B416*K_factor</f>
        <v>3826.7934839486006</v>
      </c>
      <c r="D416">
        <f>Data_inputs!C416*K_factor</f>
        <v>2154.5349287294466</v>
      </c>
      <c r="E416">
        <f t="shared" si="12"/>
        <v>1672.258555219154</v>
      </c>
      <c r="F416">
        <f>Data_inputs!G416-Data_inputs!H416</f>
        <v>110.38487078599701</v>
      </c>
      <c r="G416">
        <f t="shared" si="13"/>
        <v>235.04212068100526</v>
      </c>
    </row>
    <row r="417" spans="1:7" x14ac:dyDescent="0.3">
      <c r="A417">
        <f>Data_inputs!A417</f>
        <v>414</v>
      </c>
      <c r="B417">
        <f>Data_inputs!B417-Data_inputs!C417</f>
        <v>244.51055537142145</v>
      </c>
      <c r="C417">
        <f>Data_inputs!B417*K_factor</f>
        <v>2002.905900253387</v>
      </c>
      <c r="D417">
        <f>Data_inputs!C417*K_factor</f>
        <v>1482.2704268033451</v>
      </c>
      <c r="E417">
        <f t="shared" si="12"/>
        <v>520.6354734500419</v>
      </c>
      <c r="F417">
        <f>Data_inputs!G417-Data_inputs!H417</f>
        <v>155.34486806851805</v>
      </c>
      <c r="G417">
        <f t="shared" si="13"/>
        <v>330.77528621220529</v>
      </c>
    </row>
    <row r="418" spans="1:7" x14ac:dyDescent="0.3">
      <c r="A418">
        <f>Data_inputs!A418</f>
        <v>415</v>
      </c>
      <c r="B418">
        <f>Data_inputs!B418-Data_inputs!C418</f>
        <v>766.53529150679833</v>
      </c>
      <c r="C418">
        <f>Data_inputs!B418*K_factor</f>
        <v>3640.6579941841769</v>
      </c>
      <c r="D418">
        <f>Data_inputs!C418*K_factor</f>
        <v>2008.4770693010739</v>
      </c>
      <c r="E418">
        <f t="shared" si="12"/>
        <v>1632.180924883103</v>
      </c>
      <c r="F418">
        <f>Data_inputs!G418-Data_inputs!H418</f>
        <v>294.7958177809528</v>
      </c>
      <c r="G418">
        <f t="shared" si="13"/>
        <v>627.70770745800542</v>
      </c>
    </row>
    <row r="419" spans="1:7" x14ac:dyDescent="0.3">
      <c r="A419">
        <f>Data_inputs!A419</f>
        <v>416</v>
      </c>
      <c r="B419">
        <f>Data_inputs!B419-Data_inputs!C419</f>
        <v>703.82224593944966</v>
      </c>
      <c r="C419">
        <f>Data_inputs!B419*K_factor</f>
        <v>3427.7154503171969</v>
      </c>
      <c r="D419">
        <f>Data_inputs!C419*K_factor</f>
        <v>1929.0691948100352</v>
      </c>
      <c r="E419">
        <f t="shared" si="12"/>
        <v>1498.6462555071616</v>
      </c>
      <c r="F419">
        <f>Data_inputs!G419-Data_inputs!H419</f>
        <v>381.57729524146589</v>
      </c>
      <c r="G419">
        <f t="shared" si="13"/>
        <v>812.49120498724631</v>
      </c>
    </row>
    <row r="420" spans="1:7" x14ac:dyDescent="0.3">
      <c r="A420">
        <f>Data_inputs!A420</f>
        <v>417</v>
      </c>
      <c r="B420">
        <f>Data_inputs!B420-Data_inputs!C420</f>
        <v>428.37542577526233</v>
      </c>
      <c r="C420">
        <f>Data_inputs!B420*K_factor</f>
        <v>2194.0777851942194</v>
      </c>
      <c r="D420">
        <f>Data_inputs!C420*K_factor</f>
        <v>1281.9394839495994</v>
      </c>
      <c r="E420">
        <f t="shared" si="12"/>
        <v>912.13830124461992</v>
      </c>
      <c r="F420">
        <f>Data_inputs!G420-Data_inputs!H420</f>
        <v>301.45663978058519</v>
      </c>
      <c r="G420">
        <f t="shared" si="13"/>
        <v>641.89057252932002</v>
      </c>
    </row>
    <row r="421" spans="1:7" x14ac:dyDescent="0.3">
      <c r="A421">
        <f>Data_inputs!A421</f>
        <v>418</v>
      </c>
      <c r="B421">
        <f>Data_inputs!B421-Data_inputs!C421</f>
        <v>413.10827052809532</v>
      </c>
      <c r="C421">
        <f>Data_inputs!B421*K_factor</f>
        <v>2015.4561094420133</v>
      </c>
      <c r="D421">
        <f>Data_inputs!C421*K_factor</f>
        <v>1135.8261086602088</v>
      </c>
      <c r="E421">
        <f t="shared" si="12"/>
        <v>879.63000078180448</v>
      </c>
      <c r="F421">
        <f>Data_inputs!G421-Data_inputs!H421</f>
        <v>490.88438366200398</v>
      </c>
      <c r="G421">
        <f t="shared" si="13"/>
        <v>1045.2384074334766</v>
      </c>
    </row>
    <row r="422" spans="1:7" x14ac:dyDescent="0.3">
      <c r="A422">
        <f>Data_inputs!A422</f>
        <v>419</v>
      </c>
      <c r="B422">
        <f>Data_inputs!B422-Data_inputs!C422</f>
        <v>175.90558242305826</v>
      </c>
      <c r="C422">
        <f>Data_inputs!B422*K_factor</f>
        <v>1645.0967853804339</v>
      </c>
      <c r="D422">
        <f>Data_inputs!C422*K_factor</f>
        <v>1270.5416417457695</v>
      </c>
      <c r="E422">
        <f t="shared" si="12"/>
        <v>374.55514363466432</v>
      </c>
      <c r="F422">
        <f>Data_inputs!G422-Data_inputs!H422</f>
        <v>225.65368602271201</v>
      </c>
      <c r="G422">
        <f t="shared" si="13"/>
        <v>480.48360726071667</v>
      </c>
    </row>
    <row r="423" spans="1:7" x14ac:dyDescent="0.3">
      <c r="A423">
        <f>Data_inputs!A423</f>
        <v>420</v>
      </c>
      <c r="B423">
        <f>Data_inputs!B423-Data_inputs!C423</f>
        <v>1505.2648598265491</v>
      </c>
      <c r="C423">
        <f>Data_inputs!B423*K_factor</f>
        <v>5313.5643702341995</v>
      </c>
      <c r="D423">
        <f>Data_inputs!C423*K_factor</f>
        <v>2108.4091499491569</v>
      </c>
      <c r="E423">
        <f t="shared" si="12"/>
        <v>3205.1552202850426</v>
      </c>
      <c r="F423">
        <f>Data_inputs!G423-Data_inputs!H423</f>
        <v>102.93721578469012</v>
      </c>
      <c r="G423">
        <f t="shared" si="13"/>
        <v>219.18385484128359</v>
      </c>
    </row>
    <row r="424" spans="1:7" x14ac:dyDescent="0.3">
      <c r="A424">
        <f>Data_inputs!A424</f>
        <v>421</v>
      </c>
      <c r="B424">
        <f>Data_inputs!B424-Data_inputs!C424</f>
        <v>724.23002877014892</v>
      </c>
      <c r="C424">
        <f>Data_inputs!B424*K_factor</f>
        <v>4584.7062975645276</v>
      </c>
      <c r="D424">
        <f>Data_inputs!C424*K_factor</f>
        <v>3042.6058211956661</v>
      </c>
      <c r="E424">
        <f t="shared" si="12"/>
        <v>1542.1004763688616</v>
      </c>
      <c r="F424">
        <f>Data_inputs!G424-Data_inputs!H424</f>
        <v>616.02549067457903</v>
      </c>
      <c r="G424">
        <f t="shared" si="13"/>
        <v>1311.7009304872749</v>
      </c>
    </row>
    <row r="425" spans="1:7" x14ac:dyDescent="0.3">
      <c r="A425">
        <f>Data_inputs!A425</f>
        <v>422</v>
      </c>
      <c r="B425">
        <f>Data_inputs!B425-Data_inputs!C425</f>
        <v>250.41367324779486</v>
      </c>
      <c r="C425">
        <f>Data_inputs!B425*K_factor</f>
        <v>1608.9455052528899</v>
      </c>
      <c r="D425">
        <f>Data_inputs!C425*K_factor</f>
        <v>1075.7405434806424</v>
      </c>
      <c r="E425">
        <f t="shared" si="12"/>
        <v>533.20496177224754</v>
      </c>
      <c r="F425">
        <f>Data_inputs!G425-Data_inputs!H425</f>
        <v>87.559134065091939</v>
      </c>
      <c r="G425">
        <f t="shared" si="13"/>
        <v>186.43935902729132</v>
      </c>
    </row>
    <row r="426" spans="1:7" x14ac:dyDescent="0.3">
      <c r="A426">
        <f>Data_inputs!A426</f>
        <v>423</v>
      </c>
      <c r="B426">
        <f>Data_inputs!B426-Data_inputs!C426</f>
        <v>99.569843070694105</v>
      </c>
      <c r="C426">
        <f>Data_inputs!B426*K_factor</f>
        <v>3148.7011476429043</v>
      </c>
      <c r="D426">
        <f>Data_inputs!C426*K_factor</f>
        <v>2936.6874277864722</v>
      </c>
      <c r="E426">
        <f t="shared" si="12"/>
        <v>212.01371985643209</v>
      </c>
      <c r="F426">
        <f>Data_inputs!G426-Data_inputs!H426</f>
        <v>329.83742679258876</v>
      </c>
      <c r="G426">
        <f t="shared" si="13"/>
        <v>702.32168340890507</v>
      </c>
    </row>
    <row r="427" spans="1:7" x14ac:dyDescent="0.3">
      <c r="A427">
        <f>Data_inputs!A427</f>
        <v>424</v>
      </c>
      <c r="B427">
        <f>Data_inputs!B427-Data_inputs!C427</f>
        <v>231.00178845343657</v>
      </c>
      <c r="C427">
        <f>Data_inputs!B427*K_factor</f>
        <v>2198.9757302404673</v>
      </c>
      <c r="D427">
        <f>Data_inputs!C427*K_factor</f>
        <v>1707.1044271117751</v>
      </c>
      <c r="E427">
        <f t="shared" si="12"/>
        <v>491.87130312869226</v>
      </c>
      <c r="F427">
        <f>Data_inputs!G427-Data_inputs!H427</f>
        <v>347.63113623394429</v>
      </c>
      <c r="G427">
        <f t="shared" si="13"/>
        <v>740.2097669125402</v>
      </c>
    </row>
    <row r="428" spans="1:7" x14ac:dyDescent="0.3">
      <c r="A428">
        <f>Data_inputs!A428</f>
        <v>425</v>
      </c>
      <c r="B428">
        <f>Data_inputs!B428-Data_inputs!C428</f>
        <v>127.29100248787654</v>
      </c>
      <c r="C428">
        <f>Data_inputs!B428*K_factor</f>
        <v>1105.2845658875026</v>
      </c>
      <c r="D428">
        <f>Data_inputs!C428*K_factor</f>
        <v>834.24427789038168</v>
      </c>
      <c r="E428">
        <f t="shared" si="12"/>
        <v>271.04028799712091</v>
      </c>
      <c r="F428">
        <f>Data_inputs!G428-Data_inputs!H428</f>
        <v>132.54914952803085</v>
      </c>
      <c r="G428">
        <f t="shared" si="13"/>
        <v>282.23644216544386</v>
      </c>
    </row>
    <row r="429" spans="1:7" x14ac:dyDescent="0.3">
      <c r="A429">
        <f>Data_inputs!A429</f>
        <v>426</v>
      </c>
      <c r="B429">
        <f>Data_inputs!B429-Data_inputs!C429</f>
        <v>553.09031121313001</v>
      </c>
      <c r="C429">
        <f>Data_inputs!B429*K_factor</f>
        <v>2191.2071833608948</v>
      </c>
      <c r="D429">
        <f>Data_inputs!C429*K_factor</f>
        <v>1013.5139111761482</v>
      </c>
      <c r="E429">
        <f t="shared" si="12"/>
        <v>1177.6932721847465</v>
      </c>
      <c r="F429">
        <f>Data_inputs!G429-Data_inputs!H429</f>
        <v>281.60938847167199</v>
      </c>
      <c r="G429">
        <f t="shared" si="13"/>
        <v>599.6298894835453</v>
      </c>
    </row>
    <row r="430" spans="1:7" x14ac:dyDescent="0.3">
      <c r="A430">
        <f>Data_inputs!A430</f>
        <v>427</v>
      </c>
      <c r="B430">
        <f>Data_inputs!B430-Data_inputs!C430</f>
        <v>1061.1460872945054</v>
      </c>
      <c r="C430">
        <f>Data_inputs!B430*K_factor</f>
        <v>4368.081169694743</v>
      </c>
      <c r="D430">
        <f>Data_inputs!C430*K_factor</f>
        <v>2108.5865040390636</v>
      </c>
      <c r="E430">
        <f t="shared" si="12"/>
        <v>2259.4946656556795</v>
      </c>
      <c r="F430">
        <f>Data_inputs!G430-Data_inputs!H430</f>
        <v>296.47426560794202</v>
      </c>
      <c r="G430">
        <f t="shared" si="13"/>
        <v>631.28162056673932</v>
      </c>
    </row>
    <row r="431" spans="1:7" x14ac:dyDescent="0.3">
      <c r="A431">
        <f>Data_inputs!A431</f>
        <v>428</v>
      </c>
      <c r="B431">
        <f>Data_inputs!B431-Data_inputs!C431</f>
        <v>1173.9819344738171</v>
      </c>
      <c r="C431">
        <f>Data_inputs!B431*K_factor</f>
        <v>4260.473061805963</v>
      </c>
      <c r="D431">
        <f>Data_inputs!C431*K_factor</f>
        <v>1760.7174199764768</v>
      </c>
      <c r="E431">
        <f t="shared" si="12"/>
        <v>2499.7556418294862</v>
      </c>
      <c r="F431">
        <f>Data_inputs!G431-Data_inputs!H431</f>
        <v>228.03716468777998</v>
      </c>
      <c r="G431">
        <f t="shared" si="13"/>
        <v>485.55874007598806</v>
      </c>
    </row>
    <row r="432" spans="1:7" x14ac:dyDescent="0.3">
      <c r="A432">
        <f>Data_inputs!A432</f>
        <v>429</v>
      </c>
      <c r="B432">
        <f>Data_inputs!B432-Data_inputs!C432</f>
        <v>1273.0063152484731</v>
      </c>
      <c r="C432">
        <f>Data_inputs!B432*K_factor</f>
        <v>4784.3359165208167</v>
      </c>
      <c r="D432">
        <f>Data_inputs!C432*K_factor</f>
        <v>2073.7280058009528</v>
      </c>
      <c r="E432">
        <f t="shared" si="12"/>
        <v>2710.6079107198639</v>
      </c>
      <c r="F432">
        <f>Data_inputs!G432-Data_inputs!H432</f>
        <v>251.21402106002915</v>
      </c>
      <c r="G432">
        <f t="shared" si="13"/>
        <v>534.90913957968132</v>
      </c>
    </row>
    <row r="433" spans="1:7" x14ac:dyDescent="0.3">
      <c r="A433">
        <f>Data_inputs!A433</f>
        <v>430</v>
      </c>
      <c r="B433">
        <f>Data_inputs!B433-Data_inputs!C433</f>
        <v>517.05059226245157</v>
      </c>
      <c r="C433">
        <f>Data_inputs!B433*K_factor</f>
        <v>3183.8129627677231</v>
      </c>
      <c r="D433">
        <f>Data_inputs!C433*K_factor</f>
        <v>2082.8589385487353</v>
      </c>
      <c r="E433">
        <f t="shared" si="12"/>
        <v>1100.9540242189878</v>
      </c>
      <c r="F433">
        <f>Data_inputs!G433-Data_inputs!H433</f>
        <v>-136.9676982077599</v>
      </c>
      <c r="G433">
        <f t="shared" si="13"/>
        <v>-291.64484247085522</v>
      </c>
    </row>
    <row r="434" spans="1:7" x14ac:dyDescent="0.3">
      <c r="A434">
        <f>Data_inputs!A434</f>
        <v>431</v>
      </c>
      <c r="B434">
        <f>Data_inputs!B434-Data_inputs!C434</f>
        <v>552.46920001495187</v>
      </c>
      <c r="C434">
        <f>Data_inputs!B434*K_factor</f>
        <v>2738.195651072615</v>
      </c>
      <c r="D434">
        <f>Data_inputs!C434*K_factor</f>
        <v>1561.8249087976196</v>
      </c>
      <c r="E434">
        <f t="shared" si="12"/>
        <v>1176.3707422749953</v>
      </c>
      <c r="F434">
        <f>Data_inputs!G434-Data_inputs!H434</f>
        <v>400.02843552914374</v>
      </c>
      <c r="G434">
        <f t="shared" si="13"/>
        <v>851.77915370085464</v>
      </c>
    </row>
    <row r="435" spans="1:7" x14ac:dyDescent="0.3">
      <c r="A435">
        <f>Data_inputs!A435</f>
        <v>432</v>
      </c>
      <c r="B435">
        <f>Data_inputs!B435-Data_inputs!C435</f>
        <v>85.305315581575996</v>
      </c>
      <c r="C435">
        <f>Data_inputs!B435*K_factor</f>
        <v>3031.3363298497657</v>
      </c>
      <c r="D435">
        <f>Data_inputs!C435*K_factor</f>
        <v>2849.6960186650235</v>
      </c>
      <c r="E435">
        <f t="shared" si="12"/>
        <v>181.64031118474213</v>
      </c>
      <c r="F435">
        <f>Data_inputs!G435-Data_inputs!H435</f>
        <v>461.78885815516878</v>
      </c>
      <c r="G435">
        <f t="shared" si="13"/>
        <v>983.28540636766081</v>
      </c>
    </row>
    <row r="436" spans="1:7" x14ac:dyDescent="0.3">
      <c r="A436">
        <f>Data_inputs!A436</f>
        <v>433</v>
      </c>
      <c r="B436">
        <f>Data_inputs!B436-Data_inputs!C436</f>
        <v>72.121387069823868</v>
      </c>
      <c r="C436">
        <f>Data_inputs!B436*K_factor</f>
        <v>1803.9784855321234</v>
      </c>
      <c r="D436">
        <f>Data_inputs!C436*K_factor</f>
        <v>1650.4106673823787</v>
      </c>
      <c r="E436">
        <f t="shared" si="12"/>
        <v>153.56781814974465</v>
      </c>
      <c r="F436">
        <f>Data_inputs!G436-Data_inputs!H436</f>
        <v>85.200916417054941</v>
      </c>
      <c r="G436">
        <f t="shared" si="13"/>
        <v>181.41801440755108</v>
      </c>
    </row>
    <row r="437" spans="1:7" x14ac:dyDescent="0.3">
      <c r="A437">
        <f>Data_inputs!A437</f>
        <v>434</v>
      </c>
      <c r="B437">
        <f>Data_inputs!B437-Data_inputs!C437</f>
        <v>382.78102039689088</v>
      </c>
      <c r="C437">
        <f>Data_inputs!B437*K_factor</f>
        <v>3401.7110755209242</v>
      </c>
      <c r="D437">
        <f>Data_inputs!C437*K_factor</f>
        <v>2586.6567827551303</v>
      </c>
      <c r="E437">
        <f t="shared" si="12"/>
        <v>815.05429276579389</v>
      </c>
      <c r="F437">
        <f>Data_inputs!G437-Data_inputs!H437</f>
        <v>31.676786385518881</v>
      </c>
      <c r="G437">
        <f t="shared" si="13"/>
        <v>67.449270859281967</v>
      </c>
    </row>
    <row r="438" spans="1:7" x14ac:dyDescent="0.3">
      <c r="A438">
        <f>Data_inputs!A438</f>
        <v>435</v>
      </c>
      <c r="B438">
        <f>Data_inputs!B438-Data_inputs!C438</f>
        <v>171.61333630983546</v>
      </c>
      <c r="C438">
        <f>Data_inputs!B438*K_factor</f>
        <v>1174.8921327834228</v>
      </c>
      <c r="D438">
        <f>Data_inputs!C438*K_factor</f>
        <v>809.47645383946383</v>
      </c>
      <c r="E438">
        <f t="shared" si="12"/>
        <v>365.41567894395894</v>
      </c>
      <c r="F438">
        <f>Data_inputs!G438-Data_inputs!H438</f>
        <v>137.31837219587203</v>
      </c>
      <c r="G438">
        <f t="shared" si="13"/>
        <v>292.3915313716679</v>
      </c>
    </row>
    <row r="439" spans="1:7" x14ac:dyDescent="0.3">
      <c r="A439">
        <f>Data_inputs!A439</f>
        <v>436</v>
      </c>
      <c r="B439">
        <f>Data_inputs!B439-Data_inputs!C439</f>
        <v>307.94927474264193</v>
      </c>
      <c r="C439">
        <f>Data_inputs!B439*K_factor</f>
        <v>1591.1149547816844</v>
      </c>
      <c r="D439">
        <f>Data_inputs!C439*K_factor</f>
        <v>935.39963725403948</v>
      </c>
      <c r="E439">
        <f t="shared" si="12"/>
        <v>655.71531752764497</v>
      </c>
      <c r="F439">
        <f>Data_inputs!G439-Data_inputs!H439</f>
        <v>238.47787420771306</v>
      </c>
      <c r="G439">
        <f t="shared" si="13"/>
        <v>507.79010647163307</v>
      </c>
    </row>
    <row r="440" spans="1:7" x14ac:dyDescent="0.3">
      <c r="A440">
        <f>Data_inputs!A440</f>
        <v>437</v>
      </c>
      <c r="B440">
        <f>Data_inputs!B440-Data_inputs!C440</f>
        <v>156.84893925335814</v>
      </c>
      <c r="C440">
        <f>Data_inputs!B440*K_factor</f>
        <v>2907.2614379654315</v>
      </c>
      <c r="D440">
        <f>Data_inputs!C440*K_factor</f>
        <v>2573.28353822093</v>
      </c>
      <c r="E440">
        <f t="shared" si="12"/>
        <v>333.97789974450143</v>
      </c>
      <c r="F440">
        <f>Data_inputs!G440-Data_inputs!H440</f>
        <v>101.70669537474032</v>
      </c>
      <c r="G440">
        <f t="shared" si="13"/>
        <v>216.56371202065574</v>
      </c>
    </row>
    <row r="441" spans="1:7" x14ac:dyDescent="0.3">
      <c r="A441">
        <f>Data_inputs!A441</f>
        <v>438</v>
      </c>
      <c r="B441">
        <f>Data_inputs!B441-Data_inputs!C441</f>
        <v>473.78951328573737</v>
      </c>
      <c r="C441">
        <f>Data_inputs!B441*K_factor</f>
        <v>2100.5958086655028</v>
      </c>
      <c r="D441">
        <f>Data_inputs!C441*K_factor</f>
        <v>1091.7574491497728</v>
      </c>
      <c r="E441">
        <f t="shared" si="12"/>
        <v>1008.83835951573</v>
      </c>
      <c r="F441">
        <f>Data_inputs!G441-Data_inputs!H441</f>
        <v>227.45525795800813</v>
      </c>
      <c r="G441">
        <f t="shared" si="13"/>
        <v>484.31968810418948</v>
      </c>
    </row>
    <row r="442" spans="1:7" x14ac:dyDescent="0.3">
      <c r="A442">
        <f>Data_inputs!A442</f>
        <v>439</v>
      </c>
      <c r="B442">
        <f>Data_inputs!B442-Data_inputs!C442</f>
        <v>336.53659628424066</v>
      </c>
      <c r="C442">
        <f>Data_inputs!B442*K_factor</f>
        <v>2115.7551061467739</v>
      </c>
      <c r="D442">
        <f>Data_inputs!C442*K_factor</f>
        <v>1399.1689044854354</v>
      </c>
      <c r="E442">
        <f t="shared" si="12"/>
        <v>716.58620166133846</v>
      </c>
      <c r="F442">
        <f>Data_inputs!G442-Data_inputs!H442</f>
        <v>268.99538054736286</v>
      </c>
      <c r="G442">
        <f t="shared" si="13"/>
        <v>572.77092636925659</v>
      </c>
    </row>
    <row r="443" spans="1:7" x14ac:dyDescent="0.3">
      <c r="A443">
        <f>Data_inputs!A443</f>
        <v>440</v>
      </c>
      <c r="B443">
        <f>Data_inputs!B443-Data_inputs!C443</f>
        <v>152.51578749377393</v>
      </c>
      <c r="C443">
        <f>Data_inputs!B443*K_factor</f>
        <v>1932.0851667765462</v>
      </c>
      <c r="D443">
        <f>Data_inputs!C443*K_factor</f>
        <v>1607.3338319729939</v>
      </c>
      <c r="E443">
        <f t="shared" si="12"/>
        <v>324.75133480355225</v>
      </c>
      <c r="F443">
        <f>Data_inputs!G443-Data_inputs!H443</f>
        <v>380.44551522893221</v>
      </c>
      <c r="G443">
        <f t="shared" si="13"/>
        <v>810.08130975073323</v>
      </c>
    </row>
    <row r="444" spans="1:7" x14ac:dyDescent="0.3">
      <c r="A444">
        <f>Data_inputs!A444</f>
        <v>441</v>
      </c>
      <c r="B444">
        <f>Data_inputs!B444-Data_inputs!C444</f>
        <v>154.46898519141882</v>
      </c>
      <c r="C444">
        <f>Data_inputs!B444*K_factor</f>
        <v>2115.2461193056165</v>
      </c>
      <c r="D444">
        <f>Data_inputs!C444*K_factor</f>
        <v>1786.3358474512274</v>
      </c>
      <c r="E444">
        <f t="shared" si="12"/>
        <v>328.91027185438907</v>
      </c>
      <c r="F444">
        <f>Data_inputs!G444-Data_inputs!H444</f>
        <v>266.89586887184578</v>
      </c>
      <c r="G444">
        <f t="shared" si="13"/>
        <v>568.30044347523062</v>
      </c>
    </row>
    <row r="445" spans="1:7" x14ac:dyDescent="0.3">
      <c r="A445">
        <f>Data_inputs!A445</f>
        <v>442</v>
      </c>
      <c r="B445">
        <f>Data_inputs!B445-Data_inputs!C445</f>
        <v>254.28814017911725</v>
      </c>
      <c r="C445">
        <f>Data_inputs!B445*K_factor</f>
        <v>1790.6488231026556</v>
      </c>
      <c r="D445">
        <f>Data_inputs!C445*K_factor</f>
        <v>1249.1939723957919</v>
      </c>
      <c r="E445">
        <f t="shared" si="12"/>
        <v>541.45485070686368</v>
      </c>
      <c r="F445">
        <f>Data_inputs!G445-Data_inputs!H445</f>
        <v>347.09058523247495</v>
      </c>
      <c r="G445">
        <f t="shared" si="13"/>
        <v>739.05877354889424</v>
      </c>
    </row>
    <row r="446" spans="1:7" x14ac:dyDescent="0.3">
      <c r="A446">
        <f>Data_inputs!A446</f>
        <v>443</v>
      </c>
      <c r="B446">
        <f>Data_inputs!B446-Data_inputs!C446</f>
        <v>484.20543522658875</v>
      </c>
      <c r="C446">
        <f>Data_inputs!B446*K_factor</f>
        <v>2061.1563114286264</v>
      </c>
      <c r="D446">
        <f>Data_inputs!C446*K_factor</f>
        <v>1030.1393656230073</v>
      </c>
      <c r="E446">
        <f t="shared" si="12"/>
        <v>1031.0169458056191</v>
      </c>
      <c r="F446">
        <f>Data_inputs!G446-Data_inputs!H446</f>
        <v>205.02764011067211</v>
      </c>
      <c r="G446">
        <f t="shared" si="13"/>
        <v>436.56463958054945</v>
      </c>
    </row>
    <row r="447" spans="1:7" x14ac:dyDescent="0.3">
      <c r="A447">
        <f>Data_inputs!A447</f>
        <v>444</v>
      </c>
      <c r="B447">
        <f>Data_inputs!B447-Data_inputs!C447</f>
        <v>1085.233227416727</v>
      </c>
      <c r="C447">
        <f>Data_inputs!B447*K_factor</f>
        <v>5353.7534950138142</v>
      </c>
      <c r="D447">
        <f>Data_inputs!C447*K_factor</f>
        <v>3042.9701658379008</v>
      </c>
      <c r="E447">
        <f t="shared" si="12"/>
        <v>2310.7833291759134</v>
      </c>
      <c r="F447">
        <f>Data_inputs!G447-Data_inputs!H447</f>
        <v>1207.7988100079961</v>
      </c>
      <c r="G447">
        <f t="shared" si="13"/>
        <v>2571.7617970549481</v>
      </c>
    </row>
    <row r="448" spans="1:7" x14ac:dyDescent="0.3">
      <c r="A448">
        <f>Data_inputs!A448</f>
        <v>445</v>
      </c>
      <c r="B448">
        <f>Data_inputs!B448-Data_inputs!C448</f>
        <v>50.553470795224939</v>
      </c>
      <c r="C448">
        <f>Data_inputs!B448*K_factor</f>
        <v>2700.4287256474431</v>
      </c>
      <c r="D448">
        <f>Data_inputs!C448*K_factor</f>
        <v>2592.7853964585097</v>
      </c>
      <c r="E448">
        <f t="shared" si="12"/>
        <v>107.64332918893342</v>
      </c>
      <c r="F448">
        <f>Data_inputs!G448-Data_inputs!H448</f>
        <v>-44.23019915111081</v>
      </c>
      <c r="G448">
        <f t="shared" si="13"/>
        <v>-94.1792089132841</v>
      </c>
    </row>
    <row r="449" spans="1:7" x14ac:dyDescent="0.3">
      <c r="A449">
        <f>Data_inputs!A449</f>
        <v>446</v>
      </c>
      <c r="B449">
        <f>Data_inputs!B449-Data_inputs!C449</f>
        <v>566.27030761389437</v>
      </c>
      <c r="C449">
        <f>Data_inputs!B449*K_factor</f>
        <v>2104.7933581365273</v>
      </c>
      <c r="D449">
        <f>Data_inputs!C449*K_factor</f>
        <v>899.03596554700653</v>
      </c>
      <c r="E449">
        <f t="shared" si="12"/>
        <v>1205.7573925895208</v>
      </c>
      <c r="F449">
        <f>Data_inputs!G449-Data_inputs!H449</f>
        <v>386.44823249491992</v>
      </c>
      <c r="G449">
        <f t="shared" si="13"/>
        <v>822.86287470614752</v>
      </c>
    </row>
    <row r="450" spans="1:7" x14ac:dyDescent="0.3">
      <c r="A450">
        <f>Data_inputs!A450</f>
        <v>447</v>
      </c>
      <c r="B450">
        <f>Data_inputs!B450-Data_inputs!C450</f>
        <v>135.3174934456847</v>
      </c>
      <c r="C450">
        <f>Data_inputs!B450*K_factor</f>
        <v>1409.6352254000187</v>
      </c>
      <c r="D450">
        <f>Data_inputs!C450*K_factor</f>
        <v>1121.5041581782011</v>
      </c>
      <c r="E450">
        <f t="shared" si="12"/>
        <v>288.1310672218176</v>
      </c>
      <c r="F450">
        <f>Data_inputs!G450-Data_inputs!H450</f>
        <v>83.610530857965159</v>
      </c>
      <c r="G450">
        <f t="shared" si="13"/>
        <v>178.03161197896455</v>
      </c>
    </row>
    <row r="451" spans="1:7" x14ac:dyDescent="0.3">
      <c r="A451">
        <f>Data_inputs!A451</f>
        <v>448</v>
      </c>
      <c r="B451">
        <f>Data_inputs!B451-Data_inputs!C451</f>
        <v>512.27250488475067</v>
      </c>
      <c r="C451">
        <f>Data_inputs!B451*K_factor</f>
        <v>2756.870438833007</v>
      </c>
      <c r="D451">
        <f>Data_inputs!C451*K_factor</f>
        <v>1666.0903794160545</v>
      </c>
      <c r="E451">
        <f t="shared" si="12"/>
        <v>1090.7800594169526</v>
      </c>
      <c r="F451">
        <f>Data_inputs!G451-Data_inputs!H451</f>
        <v>412.5394235180388</v>
      </c>
      <c r="G451">
        <f t="shared" si="13"/>
        <v>878.41875682568354</v>
      </c>
    </row>
    <row r="452" spans="1:7" x14ac:dyDescent="0.3">
      <c r="A452">
        <f>Data_inputs!A452</f>
        <v>449</v>
      </c>
      <c r="B452">
        <f>Data_inputs!B452-Data_inputs!C452</f>
        <v>289.64288366549715</v>
      </c>
      <c r="C452">
        <f>Data_inputs!B452*K_factor</f>
        <v>2657.707984960618</v>
      </c>
      <c r="D452">
        <f>Data_inputs!C452*K_factor</f>
        <v>2040.9724021570344</v>
      </c>
      <c r="E452">
        <f t="shared" ref="E452:E515" si="14">C452-D452</f>
        <v>616.73558280358361</v>
      </c>
      <c r="F452">
        <f>Data_inputs!G452-Data_inputs!H452</f>
        <v>399.7938653609458</v>
      </c>
      <c r="G452">
        <f t="shared" ref="G452:G515" si="15">F452*K_factor</f>
        <v>851.27968425917163</v>
      </c>
    </row>
    <row r="453" spans="1:7" x14ac:dyDescent="0.3">
      <c r="A453">
        <f>Data_inputs!A453</f>
        <v>450</v>
      </c>
      <c r="B453">
        <f>Data_inputs!B453-Data_inputs!C453</f>
        <v>516.78547358264495</v>
      </c>
      <c r="C453">
        <f>Data_inputs!B453*K_factor</f>
        <v>3272.8796347971788</v>
      </c>
      <c r="D453">
        <f>Data_inputs!C453*K_factor</f>
        <v>2172.490126859183</v>
      </c>
      <c r="E453">
        <f t="shared" si="14"/>
        <v>1100.3895079379959</v>
      </c>
      <c r="F453">
        <f>Data_inputs!G453-Data_inputs!H453</f>
        <v>298.17054033224213</v>
      </c>
      <c r="G453">
        <f t="shared" si="15"/>
        <v>634.89349242579181</v>
      </c>
    </row>
    <row r="454" spans="1:7" x14ac:dyDescent="0.3">
      <c r="A454">
        <f>Data_inputs!A454</f>
        <v>451</v>
      </c>
      <c r="B454">
        <f>Data_inputs!B454-Data_inputs!C454</f>
        <v>388.66939472230411</v>
      </c>
      <c r="C454">
        <f>Data_inputs!B454*K_factor</f>
        <v>1940.4588315867718</v>
      </c>
      <c r="D454">
        <f>Data_inputs!C454*K_factor</f>
        <v>1112.8664438904514</v>
      </c>
      <c r="E454">
        <f t="shared" si="14"/>
        <v>827.59238769632043</v>
      </c>
      <c r="F454">
        <f>Data_inputs!G454-Data_inputs!H454</f>
        <v>349.274882438757</v>
      </c>
      <c r="G454">
        <f t="shared" si="15"/>
        <v>743.70978997810641</v>
      </c>
    </row>
    <row r="455" spans="1:7" x14ac:dyDescent="0.3">
      <c r="A455">
        <f>Data_inputs!A455</f>
        <v>452</v>
      </c>
      <c r="B455">
        <f>Data_inputs!B455-Data_inputs!C455</f>
        <v>356.94460461023419</v>
      </c>
      <c r="C455">
        <f>Data_inputs!B455*K_factor</f>
        <v>1724.421919798124</v>
      </c>
      <c r="D455">
        <f>Data_inputs!C455*K_factor</f>
        <v>964.38101712874095</v>
      </c>
      <c r="E455">
        <f t="shared" si="14"/>
        <v>760.04090266938306</v>
      </c>
      <c r="F455">
        <f>Data_inputs!G455-Data_inputs!H455</f>
        <v>269.73142803654696</v>
      </c>
      <c r="G455">
        <f t="shared" si="15"/>
        <v>574.3381897229018</v>
      </c>
    </row>
    <row r="456" spans="1:7" x14ac:dyDescent="0.3">
      <c r="A456">
        <f>Data_inputs!A456</f>
        <v>453</v>
      </c>
      <c r="B456">
        <f>Data_inputs!B456-Data_inputs!C456</f>
        <v>388.49297337522307</v>
      </c>
      <c r="C456">
        <f>Data_inputs!B456*K_factor</f>
        <v>3803.2568405277925</v>
      </c>
      <c r="D456">
        <f>Data_inputs!C456*K_factor</f>
        <v>2976.0401061909956</v>
      </c>
      <c r="E456">
        <f t="shared" si="14"/>
        <v>827.21673433679689</v>
      </c>
      <c r="F456">
        <f>Data_inputs!G456-Data_inputs!H456</f>
        <v>-96.00340202406187</v>
      </c>
      <c r="G456">
        <f t="shared" si="15"/>
        <v>-204.41970936463787</v>
      </c>
    </row>
    <row r="457" spans="1:7" x14ac:dyDescent="0.3">
      <c r="A457">
        <f>Data_inputs!A457</f>
        <v>454</v>
      </c>
      <c r="B457">
        <f>Data_inputs!B457-Data_inputs!C457</f>
        <v>352.74449875386733</v>
      </c>
      <c r="C457">
        <f>Data_inputs!B457*K_factor</f>
        <v>1904.1681521650644</v>
      </c>
      <c r="D457">
        <f>Data_inputs!C457*K_factor</f>
        <v>1153.0705202585657</v>
      </c>
      <c r="E457">
        <f t="shared" si="14"/>
        <v>751.09763190649869</v>
      </c>
      <c r="F457">
        <f>Data_inputs!G457-Data_inputs!H457</f>
        <v>364.29110847980905</v>
      </c>
      <c r="G457">
        <f t="shared" si="15"/>
        <v>775.68378775681231</v>
      </c>
    </row>
    <row r="458" spans="1:7" x14ac:dyDescent="0.3">
      <c r="A458">
        <f>Data_inputs!A458</f>
        <v>455</v>
      </c>
      <c r="B458">
        <f>Data_inputs!B458-Data_inputs!C458</f>
        <v>637.65160444849516</v>
      </c>
      <c r="C458">
        <f>Data_inputs!B458*K_factor</f>
        <v>3250.6869320466171</v>
      </c>
      <c r="D458">
        <f>Data_inputs!C458*K_factor</f>
        <v>1892.937592866049</v>
      </c>
      <c r="E458">
        <f t="shared" si="14"/>
        <v>1357.7493391805681</v>
      </c>
      <c r="F458">
        <f>Data_inputs!G458-Data_inputs!H458</f>
        <v>491.60314757537208</v>
      </c>
      <c r="G458">
        <f t="shared" si="15"/>
        <v>1046.7688689293691</v>
      </c>
    </row>
    <row r="459" spans="1:7" x14ac:dyDescent="0.3">
      <c r="A459">
        <f>Data_inputs!A459</f>
        <v>456</v>
      </c>
      <c r="B459">
        <f>Data_inputs!B459-Data_inputs!C459</f>
        <v>375.4515973401156</v>
      </c>
      <c r="C459">
        <f>Data_inputs!B459*K_factor</f>
        <v>1882.0029683891803</v>
      </c>
      <c r="D459">
        <f>Data_inputs!C459*K_factor</f>
        <v>1082.5551905956468</v>
      </c>
      <c r="E459">
        <f t="shared" si="14"/>
        <v>799.44777779353353</v>
      </c>
      <c r="F459">
        <f>Data_inputs!G459-Data_inputs!H459</f>
        <v>196.64614844170114</v>
      </c>
      <c r="G459">
        <f t="shared" si="15"/>
        <v>418.71795857872667</v>
      </c>
    </row>
    <row r="460" spans="1:7" x14ac:dyDescent="0.3">
      <c r="A460">
        <f>Data_inputs!A460</f>
        <v>457</v>
      </c>
      <c r="B460">
        <f>Data_inputs!B460-Data_inputs!C460</f>
        <v>1171.0315320335362</v>
      </c>
      <c r="C460">
        <f>Data_inputs!B460*K_factor</f>
        <v>4614.0496660169392</v>
      </c>
      <c r="D460">
        <f>Data_inputs!C460*K_factor</f>
        <v>2120.5763058215948</v>
      </c>
      <c r="E460">
        <f t="shared" si="14"/>
        <v>2493.4733601953444</v>
      </c>
      <c r="F460">
        <f>Data_inputs!G460-Data_inputs!H460</f>
        <v>136.90666558803218</v>
      </c>
      <c r="G460">
        <f t="shared" si="15"/>
        <v>291.51488592636343</v>
      </c>
    </row>
    <row r="461" spans="1:7" x14ac:dyDescent="0.3">
      <c r="A461">
        <f>Data_inputs!A461</f>
        <v>458</v>
      </c>
      <c r="B461">
        <f>Data_inputs!B461-Data_inputs!C461</f>
        <v>314.55232498125815</v>
      </c>
      <c r="C461">
        <f>Data_inputs!B461*K_factor</f>
        <v>2433.3592642228878</v>
      </c>
      <c r="D461">
        <f>Data_inputs!C461*K_factor</f>
        <v>1763.5840948333293</v>
      </c>
      <c r="E461">
        <f t="shared" si="14"/>
        <v>669.77516938955841</v>
      </c>
      <c r="F461">
        <f>Data_inputs!G461-Data_inputs!H461</f>
        <v>446.64093194615498</v>
      </c>
      <c r="G461">
        <f t="shared" si="15"/>
        <v>951.0309798802798</v>
      </c>
    </row>
    <row r="462" spans="1:7" x14ac:dyDescent="0.3">
      <c r="A462">
        <f>Data_inputs!A462</f>
        <v>459</v>
      </c>
      <c r="B462">
        <f>Data_inputs!B462-Data_inputs!C462</f>
        <v>590.7595642516286</v>
      </c>
      <c r="C462">
        <f>Data_inputs!B462*K_factor</f>
        <v>2804.7441156282025</v>
      </c>
      <c r="D462">
        <f>Data_inputs!C462*K_factor</f>
        <v>1546.8418342233147</v>
      </c>
      <c r="E462">
        <f t="shared" si="14"/>
        <v>1257.9022814048878</v>
      </c>
      <c r="F462">
        <f>Data_inputs!G462-Data_inputs!H462</f>
        <v>517.81961515931198</v>
      </c>
      <c r="G462">
        <f t="shared" si="15"/>
        <v>1102.5915019932811</v>
      </c>
    </row>
    <row r="463" spans="1:7" x14ac:dyDescent="0.3">
      <c r="A463">
        <f>Data_inputs!A463</f>
        <v>460</v>
      </c>
      <c r="B463">
        <f>Data_inputs!B463-Data_inputs!C463</f>
        <v>227.21040485415671</v>
      </c>
      <c r="C463">
        <f>Data_inputs!B463*K_factor</f>
        <v>1311.2694020277397</v>
      </c>
      <c r="D463">
        <f>Data_inputs!C463*K_factor</f>
        <v>827.47107878428506</v>
      </c>
      <c r="E463">
        <f t="shared" si="14"/>
        <v>483.79832324345466</v>
      </c>
      <c r="F463">
        <f>Data_inputs!G463-Data_inputs!H463</f>
        <v>134.44988227670297</v>
      </c>
      <c r="G463">
        <f t="shared" si="15"/>
        <v>286.28366578326961</v>
      </c>
    </row>
    <row r="464" spans="1:7" x14ac:dyDescent="0.3">
      <c r="A464">
        <f>Data_inputs!A464</f>
        <v>461</v>
      </c>
      <c r="B464">
        <f>Data_inputs!B464-Data_inputs!C464</f>
        <v>530.77798988684845</v>
      </c>
      <c r="C464">
        <f>Data_inputs!B464*K_factor</f>
        <v>2278.6780816747855</v>
      </c>
      <c r="D464">
        <f>Data_inputs!C464*K_factor</f>
        <v>1148.4943575331979</v>
      </c>
      <c r="E464">
        <f t="shared" si="14"/>
        <v>1130.1837241415876</v>
      </c>
      <c r="F464">
        <f>Data_inputs!G464-Data_inputs!H464</f>
        <v>179.80580751017987</v>
      </c>
      <c r="G464">
        <f t="shared" si="15"/>
        <v>382.85987932065854</v>
      </c>
    </row>
    <row r="465" spans="1:7" x14ac:dyDescent="0.3">
      <c r="A465">
        <f>Data_inputs!A465</f>
        <v>462</v>
      </c>
      <c r="B465">
        <f>Data_inputs!B465-Data_inputs!C465</f>
        <v>245.86228440082573</v>
      </c>
      <c r="C465">
        <f>Data_inputs!B465*K_factor</f>
        <v>1627.551115470259</v>
      </c>
      <c r="D465">
        <f>Data_inputs!C465*K_factor</f>
        <v>1104.0374101085883</v>
      </c>
      <c r="E465">
        <f t="shared" si="14"/>
        <v>523.51370536167065</v>
      </c>
      <c r="F465">
        <f>Data_inputs!G465-Data_inputs!H465</f>
        <v>165.82896019604095</v>
      </c>
      <c r="G465">
        <f t="shared" si="15"/>
        <v>353.09902704300595</v>
      </c>
    </row>
    <row r="466" spans="1:7" x14ac:dyDescent="0.3">
      <c r="A466">
        <f>Data_inputs!A466</f>
        <v>463</v>
      </c>
      <c r="B466">
        <f>Data_inputs!B466-Data_inputs!C466</f>
        <v>-23.694019346755795</v>
      </c>
      <c r="C466">
        <f>Data_inputs!B466*K_factor</f>
        <v>1489.4029668152414</v>
      </c>
      <c r="D466">
        <f>Data_inputs!C466*K_factor</f>
        <v>1539.8545596382746</v>
      </c>
      <c r="E466">
        <f t="shared" si="14"/>
        <v>-50.451592823033252</v>
      </c>
      <c r="F466">
        <f>Data_inputs!G466-Data_inputs!H466</f>
        <v>294.98965240047391</v>
      </c>
      <c r="G466">
        <f t="shared" si="15"/>
        <v>628.12043883785157</v>
      </c>
    </row>
    <row r="467" spans="1:7" x14ac:dyDescent="0.3">
      <c r="A467">
        <f>Data_inputs!A467</f>
        <v>464</v>
      </c>
      <c r="B467">
        <f>Data_inputs!B467-Data_inputs!C467</f>
        <v>292.70897979168012</v>
      </c>
      <c r="C467">
        <f>Data_inputs!B467*K_factor</f>
        <v>3083.068376202636</v>
      </c>
      <c r="D467">
        <f>Data_inputs!C467*K_factor</f>
        <v>2459.8041656027031</v>
      </c>
      <c r="E467">
        <f t="shared" si="14"/>
        <v>623.26421059993299</v>
      </c>
      <c r="F467">
        <f>Data_inputs!G467-Data_inputs!H467</f>
        <v>575.21432171528022</v>
      </c>
      <c r="G467">
        <f t="shared" si="15"/>
        <v>1224.8018506463329</v>
      </c>
    </row>
    <row r="468" spans="1:7" x14ac:dyDescent="0.3">
      <c r="A468">
        <f>Data_inputs!A468</f>
        <v>465</v>
      </c>
      <c r="B468">
        <f>Data_inputs!B468-Data_inputs!C468</f>
        <v>363.86401616194951</v>
      </c>
      <c r="C468">
        <f>Data_inputs!B468*K_factor</f>
        <v>2331.5367270631768</v>
      </c>
      <c r="D468">
        <f>Data_inputs!C468*K_factor</f>
        <v>1556.762345490396</v>
      </c>
      <c r="E468">
        <f t="shared" si="14"/>
        <v>774.77438157278084</v>
      </c>
      <c r="F468">
        <f>Data_inputs!G468-Data_inputs!H468</f>
        <v>399.03289562506598</v>
      </c>
      <c r="G468">
        <f t="shared" si="15"/>
        <v>849.65935405248945</v>
      </c>
    </row>
    <row r="469" spans="1:7" x14ac:dyDescent="0.3">
      <c r="A469">
        <f>Data_inputs!A469</f>
        <v>466</v>
      </c>
      <c r="B469">
        <f>Data_inputs!B469-Data_inputs!C469</f>
        <v>719.0729210516788</v>
      </c>
      <c r="C469">
        <f>Data_inputs!B469*K_factor</f>
        <v>2912.0189771083656</v>
      </c>
      <c r="D469">
        <f>Data_inputs!C469*K_factor</f>
        <v>1380.8995122322794</v>
      </c>
      <c r="E469">
        <f t="shared" si="14"/>
        <v>1531.1194648760861</v>
      </c>
      <c r="F469">
        <f>Data_inputs!G469-Data_inputs!H469</f>
        <v>505.19040913910021</v>
      </c>
      <c r="G469">
        <f t="shared" si="15"/>
        <v>1075.7001776263512</v>
      </c>
    </row>
    <row r="470" spans="1:7" x14ac:dyDescent="0.3">
      <c r="A470">
        <f>Data_inputs!A470</f>
        <v>467</v>
      </c>
      <c r="B470">
        <f>Data_inputs!B470-Data_inputs!C470</f>
        <v>790.8452960568909</v>
      </c>
      <c r="C470">
        <f>Data_inputs!B470*K_factor</f>
        <v>4259.3556275124029</v>
      </c>
      <c r="D470">
        <f>Data_inputs!C470*K_factor</f>
        <v>2575.4114946594673</v>
      </c>
      <c r="E470">
        <f t="shared" si="14"/>
        <v>1683.9441328529356</v>
      </c>
      <c r="F470">
        <f>Data_inputs!G470-Data_inputs!H470</f>
        <v>580.46069849049081</v>
      </c>
      <c r="G470">
        <f t="shared" si="15"/>
        <v>1235.9729424305297</v>
      </c>
    </row>
    <row r="471" spans="1:7" x14ac:dyDescent="0.3">
      <c r="A471">
        <f>Data_inputs!A471</f>
        <v>468</v>
      </c>
      <c r="B471">
        <f>Data_inputs!B471-Data_inputs!C471</f>
        <v>593.8110306605397</v>
      </c>
      <c r="C471">
        <f>Data_inputs!B471*K_factor</f>
        <v>3231.2949133515358</v>
      </c>
      <c r="D471">
        <f>Data_inputs!C471*K_factor</f>
        <v>1966.8951551563025</v>
      </c>
      <c r="E471">
        <f t="shared" si="14"/>
        <v>1264.3997581952333</v>
      </c>
      <c r="F471">
        <f>Data_inputs!G471-Data_inputs!H471</f>
        <v>428.8021265886573</v>
      </c>
      <c r="G471">
        <f t="shared" si="15"/>
        <v>913.04687379955931</v>
      </c>
    </row>
    <row r="472" spans="1:7" x14ac:dyDescent="0.3">
      <c r="A472">
        <f>Data_inputs!A472</f>
        <v>469</v>
      </c>
      <c r="B472">
        <f>Data_inputs!B472-Data_inputs!C472</f>
        <v>641.3096629207821</v>
      </c>
      <c r="C472">
        <f>Data_inputs!B472*K_factor</f>
        <v>3579.7679607668892</v>
      </c>
      <c r="D472">
        <f>Data_inputs!C472*K_factor</f>
        <v>2214.2295304293607</v>
      </c>
      <c r="E472">
        <f t="shared" si="14"/>
        <v>1365.5384303375286</v>
      </c>
      <c r="F472">
        <f>Data_inputs!G472-Data_inputs!H472</f>
        <v>636.37237540789647</v>
      </c>
      <c r="G472">
        <f t="shared" si="15"/>
        <v>1355.0254812424457</v>
      </c>
    </row>
    <row r="473" spans="1:7" x14ac:dyDescent="0.3">
      <c r="A473">
        <f>Data_inputs!A473</f>
        <v>470</v>
      </c>
      <c r="B473">
        <f>Data_inputs!B473-Data_inputs!C473</f>
        <v>113.029026150454</v>
      </c>
      <c r="C473">
        <f>Data_inputs!B473*K_factor</f>
        <v>3155.389811908768</v>
      </c>
      <c r="D473">
        <f>Data_inputs!C473*K_factor</f>
        <v>2914.7175004249225</v>
      </c>
      <c r="E473">
        <f t="shared" si="14"/>
        <v>240.67231148384553</v>
      </c>
      <c r="F473">
        <f>Data_inputs!G473-Data_inputs!H473</f>
        <v>484.39136492402804</v>
      </c>
      <c r="G473">
        <f t="shared" si="15"/>
        <v>1031.4128452624245</v>
      </c>
    </row>
    <row r="474" spans="1:7" x14ac:dyDescent="0.3">
      <c r="A474">
        <f>Data_inputs!A474</f>
        <v>471</v>
      </c>
      <c r="B474">
        <f>Data_inputs!B474-Data_inputs!C474</f>
        <v>985.46498675583769</v>
      </c>
      <c r="C474">
        <f>Data_inputs!B474*K_factor</f>
        <v>3646.5220504274134</v>
      </c>
      <c r="D474">
        <f>Data_inputs!C474*K_factor</f>
        <v>1548.1748884053336</v>
      </c>
      <c r="E474">
        <f t="shared" si="14"/>
        <v>2098.3471620220798</v>
      </c>
      <c r="F474">
        <f>Data_inputs!G474-Data_inputs!H474</f>
        <v>158.30918331937892</v>
      </c>
      <c r="G474">
        <f t="shared" si="15"/>
        <v>337.08719234543031</v>
      </c>
    </row>
    <row r="475" spans="1:7" x14ac:dyDescent="0.3">
      <c r="A475">
        <f>Data_inputs!A475</f>
        <v>472</v>
      </c>
      <c r="B475">
        <f>Data_inputs!B475-Data_inputs!C475</f>
        <v>369.69144194915384</v>
      </c>
      <c r="C475">
        <f>Data_inputs!B475*K_factor</f>
        <v>1863.3198708962709</v>
      </c>
      <c r="D475">
        <f>Data_inputs!C475*K_factor</f>
        <v>1076.1371719029705</v>
      </c>
      <c r="E475">
        <f t="shared" si="14"/>
        <v>787.18269899330039</v>
      </c>
      <c r="F475">
        <f>Data_inputs!G475-Data_inputs!H475</f>
        <v>257.59315489072196</v>
      </c>
      <c r="G475">
        <f t="shared" si="15"/>
        <v>548.49220701453669</v>
      </c>
    </row>
    <row r="476" spans="1:7" x14ac:dyDescent="0.3">
      <c r="A476">
        <f>Data_inputs!A476</f>
        <v>473</v>
      </c>
      <c r="B476">
        <f>Data_inputs!B476-Data_inputs!C476</f>
        <v>346.2226297072408</v>
      </c>
      <c r="C476">
        <f>Data_inputs!B476*K_factor</f>
        <v>1489.2106390944869</v>
      </c>
      <c r="D476">
        <f>Data_inputs!C476*K_factor</f>
        <v>752.0000002207089</v>
      </c>
      <c r="E476">
        <f t="shared" si="14"/>
        <v>737.21063887377795</v>
      </c>
      <c r="F476">
        <f>Data_inputs!G476-Data_inputs!H476</f>
        <v>249.15621480950199</v>
      </c>
      <c r="G476">
        <f t="shared" si="15"/>
        <v>530.52745990174594</v>
      </c>
    </row>
    <row r="477" spans="1:7" x14ac:dyDescent="0.3">
      <c r="A477">
        <f>Data_inputs!A477</f>
        <v>474</v>
      </c>
      <c r="B477">
        <f>Data_inputs!B477-Data_inputs!C477</f>
        <v>175.27289818545933</v>
      </c>
      <c r="C477">
        <f>Data_inputs!B477*K_factor</f>
        <v>2203.7836360347396</v>
      </c>
      <c r="D477">
        <f>Data_inputs!C477*K_factor</f>
        <v>1830.5756647423339</v>
      </c>
      <c r="E477">
        <f t="shared" si="14"/>
        <v>373.20797129240577</v>
      </c>
      <c r="F477">
        <f>Data_inputs!G477-Data_inputs!H477</f>
        <v>324.56622243930087</v>
      </c>
      <c r="G477">
        <f t="shared" si="15"/>
        <v>691.0977263492307</v>
      </c>
    </row>
    <row r="478" spans="1:7" x14ac:dyDescent="0.3">
      <c r="A478">
        <f>Data_inputs!A478</f>
        <v>475</v>
      </c>
      <c r="B478">
        <f>Data_inputs!B478-Data_inputs!C478</f>
        <v>131.33727339933409</v>
      </c>
      <c r="C478">
        <f>Data_inputs!B478*K_factor</f>
        <v>1910.9492219180145</v>
      </c>
      <c r="D478">
        <f>Data_inputs!C478*K_factor</f>
        <v>1631.2932233701003</v>
      </c>
      <c r="E478">
        <f t="shared" si="14"/>
        <v>279.65599854791412</v>
      </c>
      <c r="F478">
        <f>Data_inputs!G478-Data_inputs!H478</f>
        <v>139.69153498834112</v>
      </c>
      <c r="G478">
        <f t="shared" si="15"/>
        <v>297.4446986353646</v>
      </c>
    </row>
    <row r="479" spans="1:7" x14ac:dyDescent="0.3">
      <c r="A479">
        <f>Data_inputs!A479</f>
        <v>476</v>
      </c>
      <c r="B479">
        <f>Data_inputs!B479-Data_inputs!C479</f>
        <v>205.58025907676495</v>
      </c>
      <c r="C479">
        <f>Data_inputs!B479*K_factor</f>
        <v>1700.3375242461132</v>
      </c>
      <c r="D479">
        <f>Data_inputs!C479*K_factor</f>
        <v>1262.5961950269009</v>
      </c>
      <c r="E479">
        <f t="shared" si="14"/>
        <v>437.74132921921228</v>
      </c>
      <c r="F479">
        <f>Data_inputs!G479-Data_inputs!H479</f>
        <v>228.50431438840724</v>
      </c>
      <c r="G479">
        <f t="shared" si="15"/>
        <v>486.55344030554937</v>
      </c>
    </row>
    <row r="480" spans="1:7" x14ac:dyDescent="0.3">
      <c r="A480">
        <f>Data_inputs!A480</f>
        <v>477</v>
      </c>
      <c r="B480">
        <f>Data_inputs!B480-Data_inputs!C480</f>
        <v>998.7498897740694</v>
      </c>
      <c r="C480">
        <f>Data_inputs!B480*K_factor</f>
        <v>4076.9524116820198</v>
      </c>
      <c r="D480">
        <f>Data_inputs!C480*K_factor</f>
        <v>1950.3177519601848</v>
      </c>
      <c r="E480">
        <f t="shared" si="14"/>
        <v>2126.6346597218353</v>
      </c>
      <c r="F480">
        <f>Data_inputs!G480-Data_inputs!H480</f>
        <v>84.00136473820703</v>
      </c>
      <c r="G480">
        <f t="shared" si="15"/>
        <v>178.86381319813461</v>
      </c>
    </row>
    <row r="481" spans="1:7" x14ac:dyDescent="0.3">
      <c r="A481">
        <f>Data_inputs!A481</f>
        <v>478</v>
      </c>
      <c r="B481">
        <f>Data_inputs!B481-Data_inputs!C481</f>
        <v>507.85919340050748</v>
      </c>
      <c r="C481">
        <f>Data_inputs!B481*K_factor</f>
        <v>2421.3980424829729</v>
      </c>
      <c r="D481">
        <f>Data_inputs!C481*K_factor</f>
        <v>1340.0152318293353</v>
      </c>
      <c r="E481">
        <f t="shared" si="14"/>
        <v>1081.3828106536375</v>
      </c>
      <c r="F481">
        <f>Data_inputs!G481-Data_inputs!H481</f>
        <v>352.81982806918199</v>
      </c>
      <c r="G481">
        <f t="shared" si="15"/>
        <v>751.25803035508068</v>
      </c>
    </row>
    <row r="482" spans="1:7" x14ac:dyDescent="0.3">
      <c r="A482">
        <f>Data_inputs!A482</f>
        <v>479</v>
      </c>
      <c r="B482">
        <f>Data_inputs!B482-Data_inputs!C482</f>
        <v>429.83868402357393</v>
      </c>
      <c r="C482">
        <f>Data_inputs!B482*K_factor</f>
        <v>3205.9250831996897</v>
      </c>
      <c r="D482">
        <f>Data_inputs!C482*K_factor</f>
        <v>2290.671071266293</v>
      </c>
      <c r="E482">
        <f t="shared" si="14"/>
        <v>915.25401193339667</v>
      </c>
      <c r="F482">
        <f>Data_inputs!G482-Data_inputs!H482</f>
        <v>451.81503016195302</v>
      </c>
      <c r="G482">
        <f t="shared" si="15"/>
        <v>962.0481691798052</v>
      </c>
    </row>
    <row r="483" spans="1:7" x14ac:dyDescent="0.3">
      <c r="A483">
        <f>Data_inputs!A483</f>
        <v>480</v>
      </c>
      <c r="B483">
        <f>Data_inputs!B483-Data_inputs!C483</f>
        <v>205.89561109156756</v>
      </c>
      <c r="C483">
        <f>Data_inputs!B483*K_factor</f>
        <v>1522.3780237166986</v>
      </c>
      <c r="D483">
        <f>Data_inputs!C483*K_factor</f>
        <v>1083.9652165513471</v>
      </c>
      <c r="E483">
        <f t="shared" si="14"/>
        <v>438.41280716535152</v>
      </c>
      <c r="F483">
        <f>Data_inputs!G483-Data_inputs!H483</f>
        <v>221.64806705178012</v>
      </c>
      <c r="G483">
        <f t="shared" si="15"/>
        <v>471.95445674521568</v>
      </c>
    </row>
    <row r="484" spans="1:7" x14ac:dyDescent="0.3">
      <c r="A484">
        <f>Data_inputs!A484</f>
        <v>481</v>
      </c>
      <c r="B484">
        <f>Data_inputs!B484-Data_inputs!C484</f>
        <v>347.86154162435173</v>
      </c>
      <c r="C484">
        <f>Data_inputs!B484*K_factor</f>
        <v>1874.5774940085994</v>
      </c>
      <c r="D484">
        <f>Data_inputs!C484*K_factor</f>
        <v>1133.8771257012113</v>
      </c>
      <c r="E484">
        <f t="shared" si="14"/>
        <v>740.70036830738809</v>
      </c>
      <c r="F484">
        <f>Data_inputs!G484-Data_inputs!H484</f>
        <v>309.53051948461689</v>
      </c>
      <c r="G484">
        <f t="shared" si="15"/>
        <v>659.08225644620393</v>
      </c>
    </row>
    <row r="485" spans="1:7" x14ac:dyDescent="0.3">
      <c r="A485">
        <f>Data_inputs!A485</f>
        <v>482</v>
      </c>
      <c r="B485">
        <f>Data_inputs!B485-Data_inputs!C485</f>
        <v>502.48581924829784</v>
      </c>
      <c r="C485">
        <f>Data_inputs!B485*K_factor</f>
        <v>3083.3082800564384</v>
      </c>
      <c r="D485">
        <f>Data_inputs!C485*K_factor</f>
        <v>2013.3669762592644</v>
      </c>
      <c r="E485">
        <f t="shared" si="14"/>
        <v>1069.941303797174</v>
      </c>
      <c r="F485">
        <f>Data_inputs!G485-Data_inputs!H485</f>
        <v>307.00340291313069</v>
      </c>
      <c r="G485">
        <f t="shared" si="15"/>
        <v>653.70127593736436</v>
      </c>
    </row>
    <row r="486" spans="1:7" x14ac:dyDescent="0.3">
      <c r="A486">
        <f>Data_inputs!A486</f>
        <v>483</v>
      </c>
      <c r="B486">
        <f>Data_inputs!B486-Data_inputs!C486</f>
        <v>155.64048753036036</v>
      </c>
      <c r="C486">
        <f>Data_inputs!B486*K_factor</f>
        <v>1553.4216495650835</v>
      </c>
      <c r="D486">
        <f>Data_inputs!C486*K_factor</f>
        <v>1222.0169018629906</v>
      </c>
      <c r="E486">
        <f t="shared" si="14"/>
        <v>331.40474770209289</v>
      </c>
      <c r="F486">
        <f>Data_inputs!G486-Data_inputs!H486</f>
        <v>302.220906231556</v>
      </c>
      <c r="G486">
        <f t="shared" si="15"/>
        <v>643.51792241995656</v>
      </c>
    </row>
    <row r="487" spans="1:7" x14ac:dyDescent="0.3">
      <c r="A487">
        <f>Data_inputs!A487</f>
        <v>484</v>
      </c>
      <c r="B487">
        <f>Data_inputs!B487-Data_inputs!C487</f>
        <v>653.96146070844782</v>
      </c>
      <c r="C487">
        <f>Data_inputs!B487*K_factor</f>
        <v>3434.4844981193573</v>
      </c>
      <c r="D487">
        <f>Data_inputs!C487*K_factor</f>
        <v>2042.0066388431896</v>
      </c>
      <c r="E487">
        <f t="shared" si="14"/>
        <v>1392.4778592761677</v>
      </c>
      <c r="F487">
        <f>Data_inputs!G487-Data_inputs!H487</f>
        <v>507.65516340819704</v>
      </c>
      <c r="G487">
        <f t="shared" si="15"/>
        <v>1080.9483703020414</v>
      </c>
    </row>
    <row r="488" spans="1:7" x14ac:dyDescent="0.3">
      <c r="A488">
        <f>Data_inputs!A488</f>
        <v>485</v>
      </c>
      <c r="B488">
        <f>Data_inputs!B488-Data_inputs!C488</f>
        <v>1403.7313954644742</v>
      </c>
      <c r="C488">
        <f>Data_inputs!B488*K_factor</f>
        <v>5200.2013662105064</v>
      </c>
      <c r="D488">
        <f>Data_inputs!C488*K_factor</f>
        <v>2211.240997754549</v>
      </c>
      <c r="E488">
        <f t="shared" si="14"/>
        <v>2988.9603684559575</v>
      </c>
      <c r="F488">
        <f>Data_inputs!G488-Data_inputs!H488</f>
        <v>184.71433811331804</v>
      </c>
      <c r="G488">
        <f t="shared" si="15"/>
        <v>393.31159642803192</v>
      </c>
    </row>
    <row r="489" spans="1:7" x14ac:dyDescent="0.3">
      <c r="A489">
        <f>Data_inputs!A489</f>
        <v>486</v>
      </c>
      <c r="B489">
        <f>Data_inputs!B489-Data_inputs!C489</f>
        <v>253.78190538862185</v>
      </c>
      <c r="C489">
        <f>Data_inputs!B489*K_factor</f>
        <v>1425.4291542246012</v>
      </c>
      <c r="D489">
        <f>Data_inputs!C489*K_factor</f>
        <v>885.05222749294626</v>
      </c>
      <c r="E489">
        <f t="shared" si="14"/>
        <v>540.37692673165498</v>
      </c>
      <c r="F489">
        <f>Data_inputs!G489-Data_inputs!H489</f>
        <v>253.88869954975689</v>
      </c>
      <c r="G489">
        <f t="shared" si="15"/>
        <v>540.60432316678964</v>
      </c>
    </row>
    <row r="490" spans="1:7" x14ac:dyDescent="0.3">
      <c r="A490">
        <f>Data_inputs!A490</f>
        <v>487</v>
      </c>
      <c r="B490">
        <f>Data_inputs!B490-Data_inputs!C490</f>
        <v>559.8243759337995</v>
      </c>
      <c r="C490">
        <f>Data_inputs!B490*K_factor</f>
        <v>2553.5311895913246</v>
      </c>
      <c r="D490">
        <f>Data_inputs!C490*K_factor</f>
        <v>1361.499096864605</v>
      </c>
      <c r="E490">
        <f t="shared" si="14"/>
        <v>1192.0320927267196</v>
      </c>
      <c r="F490">
        <f>Data_inputs!G490-Data_inputs!H490</f>
        <v>309.28235982401429</v>
      </c>
      <c r="G490">
        <f t="shared" si="15"/>
        <v>658.55385094570204</v>
      </c>
    </row>
    <row r="491" spans="1:7" x14ac:dyDescent="0.3">
      <c r="A491">
        <f>Data_inputs!A491</f>
        <v>488</v>
      </c>
      <c r="B491">
        <f>Data_inputs!B491-Data_inputs!C491</f>
        <v>166.27174585132332</v>
      </c>
      <c r="C491">
        <f>Data_inputs!B491*K_factor</f>
        <v>1251.1810995141573</v>
      </c>
      <c r="D491">
        <f>Data_inputs!C491*K_factor</f>
        <v>897.1392505184358</v>
      </c>
      <c r="E491">
        <f t="shared" si="14"/>
        <v>354.04184899572147</v>
      </c>
      <c r="F491">
        <f>Data_inputs!G491-Data_inputs!H491</f>
        <v>93.22519228378701</v>
      </c>
      <c r="G491">
        <f t="shared" si="15"/>
        <v>198.50407704653884</v>
      </c>
    </row>
    <row r="492" spans="1:7" x14ac:dyDescent="0.3">
      <c r="A492">
        <f>Data_inputs!A492</f>
        <v>489</v>
      </c>
      <c r="B492">
        <f>Data_inputs!B492-Data_inputs!C492</f>
        <v>323.72866967951381</v>
      </c>
      <c r="C492">
        <f>Data_inputs!B492*K_factor</f>
        <v>1915.254322100425</v>
      </c>
      <c r="D492">
        <f>Data_inputs!C492*K_factor</f>
        <v>1225.9399939237956</v>
      </c>
      <c r="E492">
        <f t="shared" si="14"/>
        <v>689.31432817662949</v>
      </c>
      <c r="F492">
        <f>Data_inputs!G492-Data_inputs!H492</f>
        <v>328.76687563019777</v>
      </c>
      <c r="G492">
        <f t="shared" si="15"/>
        <v>700.04216254962239</v>
      </c>
    </row>
    <row r="493" spans="1:7" x14ac:dyDescent="0.3">
      <c r="A493">
        <f>Data_inputs!A493</f>
        <v>490</v>
      </c>
      <c r="B493">
        <f>Data_inputs!B493-Data_inputs!C493</f>
        <v>587.9171212317442</v>
      </c>
      <c r="C493">
        <f>Data_inputs!B493*K_factor</f>
        <v>3221.6258316895155</v>
      </c>
      <c r="D493">
        <f>Data_inputs!C493*K_factor</f>
        <v>1969.7759543011512</v>
      </c>
      <c r="E493">
        <f t="shared" si="14"/>
        <v>1251.8498773883643</v>
      </c>
      <c r="F493">
        <f>Data_inputs!G493-Data_inputs!H493</f>
        <v>27.080674557224938</v>
      </c>
      <c r="G493">
        <f t="shared" si="15"/>
        <v>57.662785960426596</v>
      </c>
    </row>
    <row r="494" spans="1:7" x14ac:dyDescent="0.3">
      <c r="A494">
        <f>Data_inputs!A494</f>
        <v>491</v>
      </c>
      <c r="B494">
        <f>Data_inputs!B494-Data_inputs!C494</f>
        <v>442.86655780640785</v>
      </c>
      <c r="C494">
        <f>Data_inputs!B494*K_factor</f>
        <v>2417.4818320871059</v>
      </c>
      <c r="D494">
        <f>Data_inputs!C494*K_factor</f>
        <v>1474.4876139091575</v>
      </c>
      <c r="E494">
        <f t="shared" si="14"/>
        <v>942.99421817794837</v>
      </c>
      <c r="F494">
        <f>Data_inputs!G494-Data_inputs!H494</f>
        <v>371.0129883010859</v>
      </c>
      <c r="G494">
        <f t="shared" si="15"/>
        <v>789.99666303497213</v>
      </c>
    </row>
    <row r="495" spans="1:7" x14ac:dyDescent="0.3">
      <c r="A495">
        <f>Data_inputs!A495</f>
        <v>492</v>
      </c>
      <c r="B495">
        <f>Data_inputs!B495-Data_inputs!C495</f>
        <v>740.51051367134721</v>
      </c>
      <c r="C495">
        <f>Data_inputs!B495*K_factor</f>
        <v>3368.4806939729283</v>
      </c>
      <c r="D495">
        <f>Data_inputs!C495*K_factor</f>
        <v>1791.7142378403055</v>
      </c>
      <c r="E495">
        <f t="shared" si="14"/>
        <v>1576.7664561326228</v>
      </c>
      <c r="F495">
        <f>Data_inputs!G495-Data_inputs!H495</f>
        <v>201.19485916028179</v>
      </c>
      <c r="G495">
        <f t="shared" si="15"/>
        <v>428.40351245985909</v>
      </c>
    </row>
    <row r="496" spans="1:7" x14ac:dyDescent="0.3">
      <c r="A496">
        <f>Data_inputs!A496</f>
        <v>493</v>
      </c>
      <c r="B496">
        <f>Data_inputs!B496-Data_inputs!C496</f>
        <v>597.09649293908308</v>
      </c>
      <c r="C496">
        <f>Data_inputs!B496*K_factor</f>
        <v>3229.3772426582887</v>
      </c>
      <c r="D496">
        <f>Data_inputs!C496*K_factor</f>
        <v>1957.9817610829614</v>
      </c>
      <c r="E496">
        <f t="shared" si="14"/>
        <v>1271.3954815753273</v>
      </c>
      <c r="F496">
        <f>Data_inputs!G496-Data_inputs!H496</f>
        <v>446.90617892039199</v>
      </c>
      <c r="G496">
        <f t="shared" si="15"/>
        <v>951.59576933815538</v>
      </c>
    </row>
    <row r="497" spans="1:7" x14ac:dyDescent="0.3">
      <c r="A497">
        <f>Data_inputs!A497</f>
        <v>494</v>
      </c>
      <c r="B497">
        <f>Data_inputs!B497-Data_inputs!C497</f>
        <v>-14.242456105424367</v>
      </c>
      <c r="C497">
        <f>Data_inputs!B497*K_factor</f>
        <v>2027.8109923489819</v>
      </c>
      <c r="D497">
        <f>Data_inputs!C497*K_factor</f>
        <v>2058.1374045002904</v>
      </c>
      <c r="E497">
        <f t="shared" si="14"/>
        <v>-30.326412151308432</v>
      </c>
      <c r="F497">
        <f>Data_inputs!G497-Data_inputs!H497</f>
        <v>338.17673914169472</v>
      </c>
      <c r="G497">
        <f t="shared" si="15"/>
        <v>720.07855213193125</v>
      </c>
    </row>
    <row r="498" spans="1:7" x14ac:dyDescent="0.3">
      <c r="A498">
        <f>Data_inputs!A498</f>
        <v>495</v>
      </c>
      <c r="B498">
        <f>Data_inputs!B498-Data_inputs!C498</f>
        <v>404.92945669646554</v>
      </c>
      <c r="C498">
        <f>Data_inputs!B498*K_factor</f>
        <v>1823.6608292945375</v>
      </c>
      <c r="D498">
        <f>Data_inputs!C498*K_factor</f>
        <v>961.44594830182336</v>
      </c>
      <c r="E498">
        <f t="shared" si="14"/>
        <v>862.21488099271414</v>
      </c>
      <c r="F498">
        <f>Data_inputs!G498-Data_inputs!H498</f>
        <v>295.78537538989417</v>
      </c>
      <c r="G498">
        <f t="shared" si="15"/>
        <v>629.81476902618465</v>
      </c>
    </row>
    <row r="499" spans="1:7" x14ac:dyDescent="0.3">
      <c r="A499">
        <f>Data_inputs!A499</f>
        <v>496</v>
      </c>
      <c r="B499">
        <f>Data_inputs!B499-Data_inputs!C499</f>
        <v>469.555674745332</v>
      </c>
      <c r="C499">
        <f>Data_inputs!B499*K_factor</f>
        <v>2529.3746544157948</v>
      </c>
      <c r="D499">
        <f>Data_inputs!C499*K_factor</f>
        <v>1529.5513925495163</v>
      </c>
      <c r="E499">
        <f t="shared" si="14"/>
        <v>999.82326186627847</v>
      </c>
      <c r="F499">
        <f>Data_inputs!G499-Data_inputs!H499</f>
        <v>268.91799362005986</v>
      </c>
      <c r="G499">
        <f t="shared" si="15"/>
        <v>572.60614665463834</v>
      </c>
    </row>
    <row r="500" spans="1:7" x14ac:dyDescent="0.3">
      <c r="A500">
        <f>Data_inputs!A500</f>
        <v>497</v>
      </c>
      <c r="B500">
        <f>Data_inputs!B500-Data_inputs!C500</f>
        <v>430.08777807012416</v>
      </c>
      <c r="C500">
        <f>Data_inputs!B500*K_factor</f>
        <v>2228.2155009427256</v>
      </c>
      <c r="D500">
        <f>Data_inputs!C500*K_factor</f>
        <v>1312.431093924085</v>
      </c>
      <c r="E500">
        <f t="shared" si="14"/>
        <v>915.78440701864065</v>
      </c>
      <c r="F500">
        <f>Data_inputs!G500-Data_inputs!H500</f>
        <v>323.95174118013097</v>
      </c>
      <c r="G500">
        <f t="shared" si="15"/>
        <v>689.7893135455048</v>
      </c>
    </row>
    <row r="501" spans="1:7" x14ac:dyDescent="0.3">
      <c r="A501">
        <f>Data_inputs!A501</f>
        <v>498</v>
      </c>
      <c r="B501">
        <f>Data_inputs!B501-Data_inputs!C501</f>
        <v>808.47421194323385</v>
      </c>
      <c r="C501">
        <f>Data_inputs!B501*K_factor</f>
        <v>3631.5970001791907</v>
      </c>
      <c r="D501">
        <f>Data_inputs!C501*K_factor</f>
        <v>1910.1156781650143</v>
      </c>
      <c r="E501">
        <f t="shared" si="14"/>
        <v>1721.4813220141764</v>
      </c>
      <c r="F501">
        <f>Data_inputs!G501-Data_inputs!H501</f>
        <v>30.142005220957003</v>
      </c>
      <c r="G501">
        <f t="shared" si="15"/>
        <v>64.181266674186261</v>
      </c>
    </row>
    <row r="502" spans="1:7" x14ac:dyDescent="0.3">
      <c r="A502">
        <f>Data_inputs!A502</f>
        <v>499</v>
      </c>
      <c r="B502">
        <f>Data_inputs!B502-Data_inputs!C502</f>
        <v>310.32998033585784</v>
      </c>
      <c r="C502">
        <f>Data_inputs!B502*K_factor</f>
        <v>1847.5542786817782</v>
      </c>
      <c r="D502">
        <f>Data_inputs!C502*K_factor</f>
        <v>1186.7697330310925</v>
      </c>
      <c r="E502">
        <f t="shared" si="14"/>
        <v>660.78454565068569</v>
      </c>
      <c r="F502">
        <f>Data_inputs!G502-Data_inputs!H502</f>
        <v>408.07944678830108</v>
      </c>
      <c r="G502">
        <f t="shared" si="15"/>
        <v>868.92214391776258</v>
      </c>
    </row>
    <row r="503" spans="1:7" x14ac:dyDescent="0.3">
      <c r="A503">
        <f>Data_inputs!A503</f>
        <v>500</v>
      </c>
      <c r="B503">
        <f>Data_inputs!B503-Data_inputs!C503</f>
        <v>1191.6171878673767</v>
      </c>
      <c r="C503">
        <f>Data_inputs!B503*K_factor</f>
        <v>4816.1391911950977</v>
      </c>
      <c r="D503">
        <f>Data_inputs!C503*K_factor</f>
        <v>2278.8328657723391</v>
      </c>
      <c r="E503">
        <f t="shared" si="14"/>
        <v>2537.3063254227586</v>
      </c>
      <c r="F503">
        <f>Data_inputs!G503-Data_inputs!H503</f>
        <v>76.642767626763998</v>
      </c>
      <c r="G503">
        <f t="shared" si="15"/>
        <v>163.19517801293949</v>
      </c>
    </row>
    <row r="504" spans="1:7" x14ac:dyDescent="0.3">
      <c r="A504">
        <f>Data_inputs!A504</f>
        <v>501</v>
      </c>
      <c r="B504">
        <f>Data_inputs!B504-Data_inputs!C504</f>
        <v>1158.9972007196529</v>
      </c>
      <c r="C504">
        <f>Data_inputs!B504*K_factor</f>
        <v>4677.0002831915472</v>
      </c>
      <c r="D504">
        <f>Data_inputs!C504*K_factor</f>
        <v>2209.1515827240441</v>
      </c>
      <c r="E504">
        <f t="shared" si="14"/>
        <v>2467.848700467503</v>
      </c>
      <c r="F504">
        <f>Data_inputs!G504-Data_inputs!H504</f>
        <v>60.837870007923129</v>
      </c>
      <c r="G504">
        <f t="shared" si="15"/>
        <v>129.54186459211357</v>
      </c>
    </row>
    <row r="505" spans="1:7" x14ac:dyDescent="0.3">
      <c r="A505">
        <f>Data_inputs!A505</f>
        <v>502</v>
      </c>
      <c r="B505">
        <f>Data_inputs!B505-Data_inputs!C505</f>
        <v>119.38688313617865</v>
      </c>
      <c r="C505">
        <f>Data_inputs!B505*K_factor</f>
        <v>2339.0168730777891</v>
      </c>
      <c r="D505">
        <f>Data_inputs!C505*K_factor</f>
        <v>2084.8067988709308</v>
      </c>
      <c r="E505">
        <f t="shared" si="14"/>
        <v>254.21007420685828</v>
      </c>
      <c r="F505">
        <f>Data_inputs!G505-Data_inputs!H505</f>
        <v>310.91014263397392</v>
      </c>
      <c r="G505">
        <f t="shared" si="15"/>
        <v>662.01988321023896</v>
      </c>
    </row>
    <row r="506" spans="1:7" x14ac:dyDescent="0.3">
      <c r="A506">
        <f>Data_inputs!A506</f>
        <v>503</v>
      </c>
      <c r="B506">
        <f>Data_inputs!B506-Data_inputs!C506</f>
        <v>636.05381395858274</v>
      </c>
      <c r="C506">
        <f>Data_inputs!B506*K_factor</f>
        <v>2892.6398987963275</v>
      </c>
      <c r="D506">
        <f>Data_inputs!C506*K_factor</f>
        <v>1538.2927293377413</v>
      </c>
      <c r="E506">
        <f t="shared" si="14"/>
        <v>1354.3471694585862</v>
      </c>
      <c r="F506">
        <f>Data_inputs!G506-Data_inputs!H506</f>
        <v>425.69235277330927</v>
      </c>
      <c r="G506">
        <f t="shared" si="15"/>
        <v>906.42524325188481</v>
      </c>
    </row>
    <row r="507" spans="1:7" x14ac:dyDescent="0.3">
      <c r="A507">
        <f>Data_inputs!A507</f>
        <v>504</v>
      </c>
      <c r="B507">
        <f>Data_inputs!B507-Data_inputs!C507</f>
        <v>367.42290600878812</v>
      </c>
      <c r="C507">
        <f>Data_inputs!B507*K_factor</f>
        <v>2487.7223047329067</v>
      </c>
      <c r="D507">
        <f>Data_inputs!C507*K_factor</f>
        <v>1705.3699914117362</v>
      </c>
      <c r="E507">
        <f t="shared" si="14"/>
        <v>782.35231332117041</v>
      </c>
      <c r="F507">
        <f>Data_inputs!G507-Data_inputs!H507</f>
        <v>409.33594651411113</v>
      </c>
      <c r="G507">
        <f t="shared" si="15"/>
        <v>871.59760440511559</v>
      </c>
    </row>
    <row r="508" spans="1:7" x14ac:dyDescent="0.3">
      <c r="A508">
        <f>Data_inputs!A508</f>
        <v>505</v>
      </c>
      <c r="B508">
        <f>Data_inputs!B508-Data_inputs!C508</f>
        <v>235.80324236263243</v>
      </c>
      <c r="C508">
        <f>Data_inputs!B508*K_factor</f>
        <v>1662.5115055117508</v>
      </c>
      <c r="D508">
        <f>Data_inputs!C508*K_factor</f>
        <v>1160.4164833069415</v>
      </c>
      <c r="E508">
        <f t="shared" si="14"/>
        <v>502.09502220480931</v>
      </c>
      <c r="F508">
        <f>Data_inputs!G508-Data_inputs!H508</f>
        <v>305.06909488583005</v>
      </c>
      <c r="G508">
        <f t="shared" si="15"/>
        <v>649.5825605957624</v>
      </c>
    </row>
    <row r="509" spans="1:7" x14ac:dyDescent="0.3">
      <c r="A509">
        <f>Data_inputs!A509</f>
        <v>506</v>
      </c>
      <c r="B509">
        <f>Data_inputs!B509-Data_inputs!C509</f>
        <v>390.28568944558572</v>
      </c>
      <c r="C509">
        <f>Data_inputs!B509*K_factor</f>
        <v>2128.8701264394927</v>
      </c>
      <c r="D509">
        <f>Data_inputs!C509*K_factor</f>
        <v>1297.8361680215637</v>
      </c>
      <c r="E509">
        <f t="shared" si="14"/>
        <v>831.03395841792894</v>
      </c>
      <c r="F509">
        <f>Data_inputs!G509-Data_inputs!H509</f>
        <v>363.48011537129105</v>
      </c>
      <c r="G509">
        <f t="shared" si="15"/>
        <v>773.95694295709961</v>
      </c>
    </row>
    <row r="510" spans="1:7" x14ac:dyDescent="0.3">
      <c r="A510">
        <f>Data_inputs!A510</f>
        <v>507</v>
      </c>
      <c r="B510">
        <f>Data_inputs!B510-Data_inputs!C510</f>
        <v>204.89244486184259</v>
      </c>
      <c r="C510">
        <f>Data_inputs!B510*K_factor</f>
        <v>2203.1651275859781</v>
      </c>
      <c r="D510">
        <f>Data_inputs!C510*K_factor</f>
        <v>1766.8883587776154</v>
      </c>
      <c r="E510">
        <f t="shared" si="14"/>
        <v>436.2767688083627</v>
      </c>
      <c r="F510">
        <f>Data_inputs!G510-Data_inputs!H510</f>
        <v>241.95543133923411</v>
      </c>
      <c r="G510">
        <f t="shared" si="15"/>
        <v>515.19485675273552</v>
      </c>
    </row>
    <row r="511" spans="1:7" x14ac:dyDescent="0.3">
      <c r="A511">
        <f>Data_inputs!A511</f>
        <v>508</v>
      </c>
      <c r="B511">
        <f>Data_inputs!B511-Data_inputs!C511</f>
        <v>379.66511847085337</v>
      </c>
      <c r="C511">
        <f>Data_inputs!B511*K_factor</f>
        <v>2423.5740863840656</v>
      </c>
      <c r="D511">
        <f>Data_inputs!C511*K_factor</f>
        <v>1615.1544727306814</v>
      </c>
      <c r="E511">
        <f t="shared" si="14"/>
        <v>808.4196136533842</v>
      </c>
      <c r="F511">
        <f>Data_inputs!G511-Data_inputs!H511</f>
        <v>345.20411314776493</v>
      </c>
      <c r="G511">
        <f t="shared" si="15"/>
        <v>735.04191511314559</v>
      </c>
    </row>
    <row r="512" spans="1:7" x14ac:dyDescent="0.3">
      <c r="A512">
        <f>Data_inputs!A512</f>
        <v>509</v>
      </c>
      <c r="B512">
        <f>Data_inputs!B512-Data_inputs!C512</f>
        <v>342.4567989880407</v>
      </c>
      <c r="C512">
        <f>Data_inputs!B512*K_factor</f>
        <v>1803.7575970357479</v>
      </c>
      <c r="D512">
        <f>Data_inputs!C512*K_factor</f>
        <v>1074.5655283887038</v>
      </c>
      <c r="E512">
        <f t="shared" si="14"/>
        <v>729.19206864704415</v>
      </c>
      <c r="F512">
        <f>Data_inputs!G512-Data_inputs!H512</f>
        <v>250.0576284477761</v>
      </c>
      <c r="G512">
        <f t="shared" si="15"/>
        <v>532.44683682035895</v>
      </c>
    </row>
    <row r="513" spans="1:7" x14ac:dyDescent="0.3">
      <c r="A513">
        <f>Data_inputs!A513</f>
        <v>510</v>
      </c>
      <c r="B513">
        <f>Data_inputs!B513-Data_inputs!C513</f>
        <v>389.25258203681551</v>
      </c>
      <c r="C513">
        <f>Data_inputs!B513*K_factor</f>
        <v>2721.2247292961774</v>
      </c>
      <c r="D513">
        <f>Data_inputs!C513*K_factor</f>
        <v>1892.3905628834352</v>
      </c>
      <c r="E513">
        <f t="shared" si="14"/>
        <v>828.83416641274221</v>
      </c>
      <c r="F513">
        <f>Data_inputs!G513-Data_inputs!H513</f>
        <v>412.40668332897894</v>
      </c>
      <c r="G513">
        <f t="shared" si="15"/>
        <v>878.13611360370874</v>
      </c>
    </row>
    <row r="514" spans="1:7" x14ac:dyDescent="0.3">
      <c r="A514">
        <f>Data_inputs!A514</f>
        <v>511</v>
      </c>
      <c r="B514">
        <f>Data_inputs!B514-Data_inputs!C514</f>
        <v>214.21396586744657</v>
      </c>
      <c r="C514">
        <f>Data_inputs!B514*K_factor</f>
        <v>1506.4649700556552</v>
      </c>
      <c r="D514">
        <f>Data_inputs!C514*K_factor</f>
        <v>1050.3399190549139</v>
      </c>
      <c r="E514">
        <f t="shared" si="14"/>
        <v>456.12505100074122</v>
      </c>
      <c r="F514">
        <f>Data_inputs!G514-Data_inputs!H514</f>
        <v>144.16836024975771</v>
      </c>
      <c r="G514">
        <f t="shared" si="15"/>
        <v>306.97718706307342</v>
      </c>
    </row>
    <row r="515" spans="1:7" x14ac:dyDescent="0.3">
      <c r="A515">
        <f>Data_inputs!A515</f>
        <v>512</v>
      </c>
      <c r="B515">
        <f>Data_inputs!B515-Data_inputs!C515</f>
        <v>1229.7779352863031</v>
      </c>
      <c r="C515">
        <f>Data_inputs!B515*K_factor</f>
        <v>4526.2339576197637</v>
      </c>
      <c r="D515">
        <f>Data_inputs!C515*K_factor</f>
        <v>1907.6720857054436</v>
      </c>
      <c r="E515">
        <f t="shared" si="14"/>
        <v>2618.5618719143204</v>
      </c>
      <c r="F515">
        <f>Data_inputs!G515-Data_inputs!H515</f>
        <v>327.31816757780007</v>
      </c>
      <c r="G515">
        <f t="shared" si="15"/>
        <v>696.9574335422991</v>
      </c>
    </row>
    <row r="516" spans="1:7" x14ac:dyDescent="0.3">
      <c r="A516">
        <f>Data_inputs!A516</f>
        <v>513</v>
      </c>
      <c r="B516">
        <f>Data_inputs!B516-Data_inputs!C516</f>
        <v>446.5114106403812</v>
      </c>
      <c r="C516">
        <f>Data_inputs!B516*K_factor</f>
        <v>3294.7157570698482</v>
      </c>
      <c r="D516">
        <f>Data_inputs!C516*K_factor</f>
        <v>2343.9605664545797</v>
      </c>
      <c r="E516">
        <f t="shared" ref="E516:E579" si="16">C516-D516</f>
        <v>950.75519061526848</v>
      </c>
      <c r="F516">
        <f>Data_inputs!G516-Data_inputs!H516</f>
        <v>381.4232959205001</v>
      </c>
      <c r="G516">
        <f t="shared" ref="G516:G579" si="17">F516*K_factor</f>
        <v>812.16329476979081</v>
      </c>
    </row>
    <row r="517" spans="1:7" x14ac:dyDescent="0.3">
      <c r="A517">
        <f>Data_inputs!A517</f>
        <v>514</v>
      </c>
      <c r="B517">
        <f>Data_inputs!B517-Data_inputs!C517</f>
        <v>900.50813532059988</v>
      </c>
      <c r="C517">
        <f>Data_inputs!B517*K_factor</f>
        <v>4061.929956093541</v>
      </c>
      <c r="D517">
        <f>Data_inputs!C517*K_factor</f>
        <v>2144.4811217637784</v>
      </c>
      <c r="E517">
        <f t="shared" si="16"/>
        <v>1917.4488343297626</v>
      </c>
      <c r="F517">
        <f>Data_inputs!G517-Data_inputs!H517</f>
        <v>40.845093176124919</v>
      </c>
      <c r="G517">
        <f t="shared" si="17"/>
        <v>86.971314557606163</v>
      </c>
    </row>
    <row r="518" spans="1:7" x14ac:dyDescent="0.3">
      <c r="A518">
        <f>Data_inputs!A518</f>
        <v>515</v>
      </c>
      <c r="B518">
        <f>Data_inputs!B518-Data_inputs!C518</f>
        <v>498.59636878924948</v>
      </c>
      <c r="C518">
        <f>Data_inputs!B518*K_factor</f>
        <v>3065.335516279391</v>
      </c>
      <c r="D518">
        <f>Data_inputs!C518*K_factor</f>
        <v>2003.6760057902036</v>
      </c>
      <c r="E518">
        <f t="shared" si="16"/>
        <v>1061.6595104891874</v>
      </c>
      <c r="F518">
        <f>Data_inputs!G518-Data_inputs!H518</f>
        <v>381.10343737293488</v>
      </c>
      <c r="G518">
        <f t="shared" si="17"/>
        <v>811.48222107914501</v>
      </c>
    </row>
    <row r="519" spans="1:7" x14ac:dyDescent="0.3">
      <c r="A519">
        <f>Data_inputs!A519</f>
        <v>516</v>
      </c>
      <c r="B519">
        <f>Data_inputs!B519-Data_inputs!C519</f>
        <v>248.43573111706405</v>
      </c>
      <c r="C519">
        <f>Data_inputs!B519*K_factor</f>
        <v>1794.2343898104182</v>
      </c>
      <c r="D519">
        <f>Data_inputs!C519*K_factor</f>
        <v>1265.2410533241446</v>
      </c>
      <c r="E519">
        <f t="shared" si="16"/>
        <v>528.99333648627362</v>
      </c>
      <c r="F519">
        <f>Data_inputs!G519-Data_inputs!H519</f>
        <v>268.89987430698193</v>
      </c>
      <c r="G519">
        <f t="shared" si="17"/>
        <v>572.5675652644461</v>
      </c>
    </row>
    <row r="520" spans="1:7" x14ac:dyDescent="0.3">
      <c r="A520">
        <f>Data_inputs!A520</f>
        <v>517</v>
      </c>
      <c r="B520">
        <f>Data_inputs!B520-Data_inputs!C520</f>
        <v>467.17239846840937</v>
      </c>
      <c r="C520">
        <f>Data_inputs!B520*K_factor</f>
        <v>2166.6456172068401</v>
      </c>
      <c r="D520">
        <f>Data_inputs!C520*K_factor</f>
        <v>1171.8970572114606</v>
      </c>
      <c r="E520">
        <f t="shared" si="16"/>
        <v>994.74855999537954</v>
      </c>
      <c r="F520">
        <f>Data_inputs!G520-Data_inputs!H520</f>
        <v>348.96970674400882</v>
      </c>
      <c r="G520">
        <f t="shared" si="17"/>
        <v>743.05998043479519</v>
      </c>
    </row>
    <row r="521" spans="1:7" x14ac:dyDescent="0.3">
      <c r="A521">
        <f>Data_inputs!A521</f>
        <v>518</v>
      </c>
      <c r="B521">
        <f>Data_inputs!B521-Data_inputs!C521</f>
        <v>1122.8680811753609</v>
      </c>
      <c r="C521">
        <f>Data_inputs!B521*K_factor</f>
        <v>4561.9847997944016</v>
      </c>
      <c r="D521">
        <f>Data_inputs!C521*K_factor</f>
        <v>2171.0657076650841</v>
      </c>
      <c r="E521">
        <f t="shared" si="16"/>
        <v>2390.9190921293175</v>
      </c>
      <c r="F521">
        <f>Data_inputs!G521-Data_inputs!H521</f>
        <v>497.84590852516294</v>
      </c>
      <c r="G521">
        <f t="shared" si="17"/>
        <v>1060.0615580641697</v>
      </c>
    </row>
    <row r="522" spans="1:7" x14ac:dyDescent="0.3">
      <c r="A522">
        <f>Data_inputs!A522</f>
        <v>519</v>
      </c>
      <c r="B522">
        <f>Data_inputs!B522-Data_inputs!C522</f>
        <v>542.53581302084945</v>
      </c>
      <c r="C522">
        <f>Data_inputs!B522*K_factor</f>
        <v>2426.2595209042902</v>
      </c>
      <c r="D522">
        <f>Data_inputs!C522*K_factor</f>
        <v>1271.0399049386724</v>
      </c>
      <c r="E522">
        <f t="shared" si="16"/>
        <v>1155.2196159656178</v>
      </c>
      <c r="F522">
        <f>Data_inputs!G522-Data_inputs!H522</f>
        <v>281.69084934593184</v>
      </c>
      <c r="G522">
        <f t="shared" si="17"/>
        <v>599.80334383922127</v>
      </c>
    </row>
    <row r="523" spans="1:7" x14ac:dyDescent="0.3">
      <c r="A523">
        <f>Data_inputs!A523</f>
        <v>520</v>
      </c>
      <c r="B523">
        <f>Data_inputs!B523-Data_inputs!C523</f>
        <v>229.13633311050643</v>
      </c>
      <c r="C523">
        <f>Data_inputs!B523*K_factor</f>
        <v>1492.3205497056495</v>
      </c>
      <c r="D523">
        <f>Data_inputs!C523*K_factor</f>
        <v>1004.4213541376756</v>
      </c>
      <c r="E523">
        <f t="shared" si="16"/>
        <v>487.89919556797383</v>
      </c>
      <c r="F523">
        <f>Data_inputs!G523-Data_inputs!H523</f>
        <v>120.21640785330362</v>
      </c>
      <c r="G523">
        <f t="shared" si="17"/>
        <v>255.97637829619649</v>
      </c>
    </row>
    <row r="524" spans="1:7" x14ac:dyDescent="0.3">
      <c r="A524">
        <f>Data_inputs!A524</f>
        <v>521</v>
      </c>
      <c r="B524">
        <f>Data_inputs!B524-Data_inputs!C524</f>
        <v>410.69485141553616</v>
      </c>
      <c r="C524">
        <f>Data_inputs!B524*K_factor</f>
        <v>2188.5363482415232</v>
      </c>
      <c r="D524">
        <f>Data_inputs!C524*K_factor</f>
        <v>1314.0452323654924</v>
      </c>
      <c r="E524">
        <f t="shared" si="16"/>
        <v>874.49111587603079</v>
      </c>
      <c r="F524">
        <f>Data_inputs!G524-Data_inputs!H524</f>
        <v>225.26748536720879</v>
      </c>
      <c r="G524">
        <f t="shared" si="17"/>
        <v>479.66127155083615</v>
      </c>
    </row>
    <row r="525" spans="1:7" x14ac:dyDescent="0.3">
      <c r="A525">
        <f>Data_inputs!A525</f>
        <v>522</v>
      </c>
      <c r="B525">
        <f>Data_inputs!B525-Data_inputs!C525</f>
        <v>731.55343983201806</v>
      </c>
      <c r="C525">
        <f>Data_inputs!B525*K_factor</f>
        <v>3750.6878138014272</v>
      </c>
      <c r="D525">
        <f>Data_inputs!C525*K_factor</f>
        <v>2192.9936237801071</v>
      </c>
      <c r="E525">
        <f t="shared" si="16"/>
        <v>1557.6941900213201</v>
      </c>
      <c r="F525">
        <f>Data_inputs!G525-Data_inputs!H525</f>
        <v>406.18297207455998</v>
      </c>
      <c r="G525">
        <f t="shared" si="17"/>
        <v>864.88398691887653</v>
      </c>
    </row>
    <row r="526" spans="1:7" x14ac:dyDescent="0.3">
      <c r="A526">
        <f>Data_inputs!A526</f>
        <v>523</v>
      </c>
      <c r="B526">
        <f>Data_inputs!B526-Data_inputs!C526</f>
        <v>441.49178729577102</v>
      </c>
      <c r="C526">
        <f>Data_inputs!B526*K_factor</f>
        <v>3504.2064566677604</v>
      </c>
      <c r="D526">
        <f>Data_inputs!C526*K_factor</f>
        <v>2564.1395325471312</v>
      </c>
      <c r="E526">
        <f t="shared" si="16"/>
        <v>940.06692412062921</v>
      </c>
      <c r="F526">
        <f>Data_inputs!G526-Data_inputs!H526</f>
        <v>657.95204744075136</v>
      </c>
      <c r="G526">
        <f t="shared" si="17"/>
        <v>1400.9750016983432</v>
      </c>
    </row>
    <row r="527" spans="1:7" x14ac:dyDescent="0.3">
      <c r="A527">
        <f>Data_inputs!A527</f>
        <v>524</v>
      </c>
      <c r="B527">
        <f>Data_inputs!B527-Data_inputs!C527</f>
        <v>240.3668891040802</v>
      </c>
      <c r="C527">
        <f>Data_inputs!B527*K_factor</f>
        <v>3003.8212985001105</v>
      </c>
      <c r="D527">
        <f>Data_inputs!C527*K_factor</f>
        <v>2492.0089191927291</v>
      </c>
      <c r="E527">
        <f t="shared" si="16"/>
        <v>511.81237930738143</v>
      </c>
      <c r="F527">
        <f>Data_inputs!G527-Data_inputs!H527</f>
        <v>212.19291018317199</v>
      </c>
      <c r="G527">
        <f t="shared" si="17"/>
        <v>451.82162417545425</v>
      </c>
    </row>
    <row r="528" spans="1:7" x14ac:dyDescent="0.3">
      <c r="A528">
        <f>Data_inputs!A528</f>
        <v>525</v>
      </c>
      <c r="B528">
        <f>Data_inputs!B528-Data_inputs!C528</f>
        <v>169.18092948060803</v>
      </c>
      <c r="C528">
        <f>Data_inputs!B528*K_factor</f>
        <v>2364.2760392017713</v>
      </c>
      <c r="D528">
        <f>Data_inputs!C528*K_factor</f>
        <v>2004.0396756425171</v>
      </c>
      <c r="E528">
        <f t="shared" si="16"/>
        <v>360.23636355925419</v>
      </c>
      <c r="F528">
        <f>Data_inputs!G528-Data_inputs!H528</f>
        <v>85.464712685834911</v>
      </c>
      <c r="G528">
        <f t="shared" si="17"/>
        <v>181.97971488335256</v>
      </c>
    </row>
    <row r="529" spans="1:7" x14ac:dyDescent="0.3">
      <c r="A529">
        <f>Data_inputs!A529</f>
        <v>526</v>
      </c>
      <c r="B529">
        <f>Data_inputs!B529-Data_inputs!C529</f>
        <v>365.69822276498257</v>
      </c>
      <c r="C529">
        <f>Data_inputs!B529*K_factor</f>
        <v>2410.7669107695074</v>
      </c>
      <c r="D529">
        <f>Data_inputs!C529*K_factor</f>
        <v>1632.0869594689709</v>
      </c>
      <c r="E529">
        <f t="shared" si="16"/>
        <v>778.67995130053646</v>
      </c>
      <c r="F529">
        <f>Data_inputs!G529-Data_inputs!H529</f>
        <v>472.86703247296009</v>
      </c>
      <c r="G529">
        <f t="shared" si="17"/>
        <v>1006.8741243358647</v>
      </c>
    </row>
    <row r="530" spans="1:7" x14ac:dyDescent="0.3">
      <c r="A530">
        <f>Data_inputs!A530</f>
        <v>527</v>
      </c>
      <c r="B530">
        <f>Data_inputs!B530-Data_inputs!C530</f>
        <v>575.3861054046223</v>
      </c>
      <c r="C530">
        <f>Data_inputs!B530*K_factor</f>
        <v>3029.7326990774454</v>
      </c>
      <c r="D530">
        <f>Data_inputs!C530*K_factor</f>
        <v>1804.5650700200504</v>
      </c>
      <c r="E530">
        <f t="shared" si="16"/>
        <v>1225.1676290573951</v>
      </c>
      <c r="F530">
        <f>Data_inputs!G530-Data_inputs!H530</f>
        <v>492.87602196258013</v>
      </c>
      <c r="G530">
        <f t="shared" si="17"/>
        <v>1049.4791959261722</v>
      </c>
    </row>
    <row r="531" spans="1:7" x14ac:dyDescent="0.3">
      <c r="A531">
        <f>Data_inputs!A531</f>
        <v>528</v>
      </c>
      <c r="B531">
        <f>Data_inputs!B531-Data_inputs!C531</f>
        <v>572.30267911846988</v>
      </c>
      <c r="C531">
        <f>Data_inputs!B531*K_factor</f>
        <v>2550.4688216921231</v>
      </c>
      <c r="D531">
        <f>Data_inputs!C531*K_factor</f>
        <v>1331.8667214803058</v>
      </c>
      <c r="E531">
        <f t="shared" si="16"/>
        <v>1218.6021002118173</v>
      </c>
      <c r="F531">
        <f>Data_inputs!G531-Data_inputs!H531</f>
        <v>447.73625664697693</v>
      </c>
      <c r="G531">
        <f t="shared" si="17"/>
        <v>953.36325094860945</v>
      </c>
    </row>
    <row r="532" spans="1:7" x14ac:dyDescent="0.3">
      <c r="A532">
        <f>Data_inputs!A532</f>
        <v>529</v>
      </c>
      <c r="B532">
        <f>Data_inputs!B532-Data_inputs!C532</f>
        <v>580.32253574156891</v>
      </c>
      <c r="C532">
        <f>Data_inputs!B532*K_factor</f>
        <v>2744.8298912314708</v>
      </c>
      <c r="D532">
        <f>Data_inputs!C532*K_factor</f>
        <v>1509.1511382607328</v>
      </c>
      <c r="E532">
        <f t="shared" si="16"/>
        <v>1235.6787529707381</v>
      </c>
      <c r="F532">
        <f>Data_inputs!G532-Data_inputs!H532</f>
        <v>296.29266619354303</v>
      </c>
      <c r="G532">
        <f t="shared" si="17"/>
        <v>630.89494156652086</v>
      </c>
    </row>
    <row r="533" spans="1:7" x14ac:dyDescent="0.3">
      <c r="A533">
        <f>Data_inputs!A533</f>
        <v>530</v>
      </c>
      <c r="B533">
        <f>Data_inputs!B533-Data_inputs!C533</f>
        <v>-182.68400114522592</v>
      </c>
      <c r="C533">
        <f>Data_inputs!B533*K_factor</f>
        <v>2314.1232529105328</v>
      </c>
      <c r="D533">
        <f>Data_inputs!C533*K_factor</f>
        <v>2703.1116599079896</v>
      </c>
      <c r="E533">
        <f t="shared" si="16"/>
        <v>-388.98840699745688</v>
      </c>
      <c r="F533">
        <f>Data_inputs!G533-Data_inputs!H533</f>
        <v>-225.25713962251393</v>
      </c>
      <c r="G533">
        <f t="shared" si="17"/>
        <v>-479.63924239271159</v>
      </c>
    </row>
    <row r="534" spans="1:7" x14ac:dyDescent="0.3">
      <c r="A534">
        <f>Data_inputs!A534</f>
        <v>531</v>
      </c>
      <c r="B534">
        <f>Data_inputs!B534-Data_inputs!C534</f>
        <v>266.74587192534182</v>
      </c>
      <c r="C534">
        <f>Data_inputs!B534*K_factor</f>
        <v>1746.2035042648245</v>
      </c>
      <c r="D534">
        <f>Data_inputs!C534*K_factor</f>
        <v>1178.2224487650558</v>
      </c>
      <c r="E534">
        <f t="shared" si="16"/>
        <v>567.98105549976867</v>
      </c>
      <c r="F534">
        <f>Data_inputs!G534-Data_inputs!H534</f>
        <v>160.97074277619686</v>
      </c>
      <c r="G534">
        <f t="shared" si="17"/>
        <v>342.75444162148261</v>
      </c>
    </row>
    <row r="535" spans="1:7" x14ac:dyDescent="0.3">
      <c r="A535">
        <f>Data_inputs!A535</f>
        <v>532</v>
      </c>
      <c r="B535">
        <f>Data_inputs!B535-Data_inputs!C535</f>
        <v>325.6448634754729</v>
      </c>
      <c r="C535">
        <f>Data_inputs!B535*K_factor</f>
        <v>3765.4176594914147</v>
      </c>
      <c r="D535">
        <f>Data_inputs!C535*K_factor</f>
        <v>3072.0231865428523</v>
      </c>
      <c r="E535">
        <f t="shared" si="16"/>
        <v>693.39447294856245</v>
      </c>
      <c r="F535">
        <f>Data_inputs!G535-Data_inputs!H535</f>
        <v>574.82889298159489</v>
      </c>
      <c r="G535">
        <f t="shared" si="17"/>
        <v>1223.9811585868893</v>
      </c>
    </row>
    <row r="536" spans="1:7" x14ac:dyDescent="0.3">
      <c r="A536">
        <f>Data_inputs!A536</f>
        <v>533</v>
      </c>
      <c r="B536">
        <f>Data_inputs!B536-Data_inputs!C536</f>
        <v>746.24873057686443</v>
      </c>
      <c r="C536">
        <f>Data_inputs!B536*K_factor</f>
        <v>3217.7752073003162</v>
      </c>
      <c r="D536">
        <f>Data_inputs!C536*K_factor</f>
        <v>1628.7903859080634</v>
      </c>
      <c r="E536">
        <f t="shared" si="16"/>
        <v>1588.9848213922528</v>
      </c>
      <c r="F536">
        <f>Data_inputs!G536-Data_inputs!H536</f>
        <v>590.8352194336162</v>
      </c>
      <c r="G536">
        <f t="shared" si="17"/>
        <v>1258.0633737202406</v>
      </c>
    </row>
    <row r="537" spans="1:7" x14ac:dyDescent="0.3">
      <c r="A537">
        <f>Data_inputs!A537</f>
        <v>534</v>
      </c>
      <c r="B537">
        <f>Data_inputs!B537-Data_inputs!C537</f>
        <v>698.34288728772015</v>
      </c>
      <c r="C537">
        <f>Data_inputs!B537*K_factor</f>
        <v>3619.3278457306019</v>
      </c>
      <c r="D537">
        <f>Data_inputs!C537*K_factor</f>
        <v>2132.3487695053832</v>
      </c>
      <c r="E537">
        <f t="shared" si="16"/>
        <v>1486.9790762252187</v>
      </c>
      <c r="F537">
        <f>Data_inputs!G537-Data_inputs!H537</f>
        <v>421.34765768145508</v>
      </c>
      <c r="G537">
        <f t="shared" si="17"/>
        <v>897.17409913376071</v>
      </c>
    </row>
    <row r="538" spans="1:7" x14ac:dyDescent="0.3">
      <c r="A538">
        <f>Data_inputs!A538</f>
        <v>535</v>
      </c>
      <c r="B538">
        <f>Data_inputs!B538-Data_inputs!C538</f>
        <v>147.43485638871255</v>
      </c>
      <c r="C538">
        <f>Data_inputs!B538*K_factor</f>
        <v>2323.9739744326298</v>
      </c>
      <c r="D538">
        <f>Data_inputs!C538*K_factor</f>
        <v>2010.0414485243923</v>
      </c>
      <c r="E538">
        <f t="shared" si="16"/>
        <v>313.93252590823749</v>
      </c>
      <c r="F538">
        <f>Data_inputs!G538-Data_inputs!H538</f>
        <v>225.21816546807167</v>
      </c>
      <c r="G538">
        <f t="shared" si="17"/>
        <v>479.55625486147994</v>
      </c>
    </row>
    <row r="539" spans="1:7" x14ac:dyDescent="0.3">
      <c r="A539">
        <f>Data_inputs!A539</f>
        <v>536</v>
      </c>
      <c r="B539">
        <f>Data_inputs!B539-Data_inputs!C539</f>
        <v>674.19713403070762</v>
      </c>
      <c r="C539">
        <f>Data_inputs!B539*K_factor</f>
        <v>2986.4189735208529</v>
      </c>
      <c r="D539">
        <f>Data_inputs!C539*K_factor</f>
        <v>1550.8533655595156</v>
      </c>
      <c r="E539">
        <f t="shared" si="16"/>
        <v>1435.5656079613373</v>
      </c>
      <c r="F539">
        <f>Data_inputs!G539-Data_inputs!H539</f>
        <v>691.3897231665328</v>
      </c>
      <c r="G539">
        <f t="shared" si="17"/>
        <v>1472.1737280932691</v>
      </c>
    </row>
    <row r="540" spans="1:7" x14ac:dyDescent="0.3">
      <c r="A540">
        <f>Data_inputs!A540</f>
        <v>537</v>
      </c>
      <c r="B540">
        <f>Data_inputs!B540-Data_inputs!C540</f>
        <v>365.46477024506851</v>
      </c>
      <c r="C540">
        <f>Data_inputs!B540*K_factor</f>
        <v>1806.8550232866803</v>
      </c>
      <c r="D540">
        <f>Data_inputs!C540*K_factor</f>
        <v>1028.672161623231</v>
      </c>
      <c r="E540">
        <f t="shared" si="16"/>
        <v>778.18286166344933</v>
      </c>
      <c r="F540">
        <f>Data_inputs!G540-Data_inputs!H540</f>
        <v>208.5765750488149</v>
      </c>
      <c r="G540">
        <f t="shared" si="17"/>
        <v>444.12137437654479</v>
      </c>
    </row>
    <row r="541" spans="1:7" x14ac:dyDescent="0.3">
      <c r="A541">
        <f>Data_inputs!A541</f>
        <v>538</v>
      </c>
      <c r="B541">
        <f>Data_inputs!B541-Data_inputs!C541</f>
        <v>184.79621476598987</v>
      </c>
      <c r="C541">
        <f>Data_inputs!B541*K_factor</f>
        <v>1403.5576562797191</v>
      </c>
      <c r="D541">
        <f>Data_inputs!C541*K_factor</f>
        <v>1010.0717201804875</v>
      </c>
      <c r="E541">
        <f t="shared" si="16"/>
        <v>393.48593609923159</v>
      </c>
      <c r="F541">
        <f>Data_inputs!G541-Data_inputs!H541</f>
        <v>172.96041751720634</v>
      </c>
      <c r="G541">
        <f t="shared" si="17"/>
        <v>368.28401426432924</v>
      </c>
    </row>
    <row r="542" spans="1:7" x14ac:dyDescent="0.3">
      <c r="A542">
        <f>Data_inputs!A542</f>
        <v>539</v>
      </c>
      <c r="B542">
        <f>Data_inputs!B542-Data_inputs!C542</f>
        <v>271.455321596153</v>
      </c>
      <c r="C542">
        <f>Data_inputs!B542*K_factor</f>
        <v>2846.207269969053</v>
      </c>
      <c r="D542">
        <f>Data_inputs!C542*K_factor</f>
        <v>2268.1983996973313</v>
      </c>
      <c r="E542">
        <f t="shared" si="16"/>
        <v>578.00887027172166</v>
      </c>
      <c r="F542">
        <f>Data_inputs!G542-Data_inputs!H542</f>
        <v>131.64632208805801</v>
      </c>
      <c r="G542">
        <f t="shared" si="17"/>
        <v>280.3140548438007</v>
      </c>
    </row>
    <row r="543" spans="1:7" x14ac:dyDescent="0.3">
      <c r="A543">
        <f>Data_inputs!A543</f>
        <v>540</v>
      </c>
      <c r="B543">
        <f>Data_inputs!B543-Data_inputs!C543</f>
        <v>801.87410034869799</v>
      </c>
      <c r="C543">
        <f>Data_inputs!B543*K_factor</f>
        <v>4041.0981138337015</v>
      </c>
      <c r="D543">
        <f>Data_inputs!C543*K_factor</f>
        <v>2333.6703864368392</v>
      </c>
      <c r="E543">
        <f t="shared" si="16"/>
        <v>1707.4277273968623</v>
      </c>
      <c r="F543">
        <f>Data_inputs!G543-Data_inputs!H543</f>
        <v>82.928828581244034</v>
      </c>
      <c r="G543">
        <f t="shared" si="17"/>
        <v>176.5800656968274</v>
      </c>
    </row>
    <row r="544" spans="1:7" x14ac:dyDescent="0.3">
      <c r="A544">
        <f>Data_inputs!A544</f>
        <v>541</v>
      </c>
      <c r="B544">
        <f>Data_inputs!B544-Data_inputs!C544</f>
        <v>459.22546659773786</v>
      </c>
      <c r="C544">
        <f>Data_inputs!B544*K_factor</f>
        <v>2686.2755643906112</v>
      </c>
      <c r="D544">
        <f>Data_inputs!C544*K_factor</f>
        <v>1708.4483787329461</v>
      </c>
      <c r="E544">
        <f t="shared" si="16"/>
        <v>977.82718565766504</v>
      </c>
      <c r="F544">
        <f>Data_inputs!G544-Data_inputs!H544</f>
        <v>456.27570247326412</v>
      </c>
      <c r="G544">
        <f t="shared" si="17"/>
        <v>971.54626318714634</v>
      </c>
    </row>
    <row r="545" spans="1:7" x14ac:dyDescent="0.3">
      <c r="A545">
        <f>Data_inputs!A545</f>
        <v>542</v>
      </c>
      <c r="B545">
        <f>Data_inputs!B545-Data_inputs!C545</f>
        <v>881.44638650146965</v>
      </c>
      <c r="C545">
        <f>Data_inputs!B545*K_factor</f>
        <v>3808.0372498260763</v>
      </c>
      <c r="D545">
        <f>Data_inputs!C545*K_factor</f>
        <v>1931.1765308280153</v>
      </c>
      <c r="E545">
        <f t="shared" si="16"/>
        <v>1876.860718998061</v>
      </c>
      <c r="F545">
        <f>Data_inputs!G545-Data_inputs!H545</f>
        <v>52.806301623169929</v>
      </c>
      <c r="G545">
        <f t="shared" si="17"/>
        <v>112.44027401991733</v>
      </c>
    </row>
    <row r="546" spans="1:7" x14ac:dyDescent="0.3">
      <c r="A546">
        <f>Data_inputs!A546</f>
        <v>543</v>
      </c>
      <c r="B546">
        <f>Data_inputs!B546-Data_inputs!C546</f>
        <v>424.32447209022342</v>
      </c>
      <c r="C546">
        <f>Data_inputs!B546*K_factor</f>
        <v>1710.8187458813459</v>
      </c>
      <c r="D546">
        <f>Data_inputs!C546*K_factor</f>
        <v>807.30612620098645</v>
      </c>
      <c r="E546">
        <f t="shared" si="16"/>
        <v>903.51261968035942</v>
      </c>
      <c r="F546">
        <f>Data_inputs!G546-Data_inputs!H546</f>
        <v>313.55834002822803</v>
      </c>
      <c r="G546">
        <f t="shared" si="17"/>
        <v>667.65868069303997</v>
      </c>
    </row>
    <row r="547" spans="1:7" x14ac:dyDescent="0.3">
      <c r="A547">
        <f>Data_inputs!A547</f>
        <v>544</v>
      </c>
      <c r="B547">
        <f>Data_inputs!B547-Data_inputs!C547</f>
        <v>587.94685846021298</v>
      </c>
      <c r="C547">
        <f>Data_inputs!B547*K_factor</f>
        <v>3546.6338060381804</v>
      </c>
      <c r="D547">
        <f>Data_inputs!C547*K_factor</f>
        <v>2294.7206092728693</v>
      </c>
      <c r="E547">
        <f t="shared" si="16"/>
        <v>1251.9131967653111</v>
      </c>
      <c r="F547">
        <f>Data_inputs!G547-Data_inputs!H547</f>
        <v>527.27095342192661</v>
      </c>
      <c r="G547">
        <f t="shared" si="17"/>
        <v>1122.7162036186082</v>
      </c>
    </row>
    <row r="548" spans="1:7" x14ac:dyDescent="0.3">
      <c r="A548">
        <f>Data_inputs!A548</f>
        <v>545</v>
      </c>
      <c r="B548">
        <f>Data_inputs!B548-Data_inputs!C548</f>
        <v>592.28686777330461</v>
      </c>
      <c r="C548">
        <f>Data_inputs!B548*K_factor</f>
        <v>2833.4339463815572</v>
      </c>
      <c r="D548">
        <f>Data_inputs!C548*K_factor</f>
        <v>1572.2795829105116</v>
      </c>
      <c r="E548">
        <f t="shared" si="16"/>
        <v>1261.1543634710456</v>
      </c>
      <c r="F548">
        <f>Data_inputs!G548-Data_inputs!H548</f>
        <v>554.45685939734949</v>
      </c>
      <c r="G548">
        <f t="shared" si="17"/>
        <v>1180.6030584710795</v>
      </c>
    </row>
    <row r="549" spans="1:7" x14ac:dyDescent="0.3">
      <c r="A549">
        <f>Data_inputs!A549</f>
        <v>546</v>
      </c>
      <c r="B549">
        <f>Data_inputs!B549-Data_inputs!C549</f>
        <v>-174.59178229293911</v>
      </c>
      <c r="C549">
        <f>Data_inputs!B549*K_factor</f>
        <v>2478.8923325118312</v>
      </c>
      <c r="D549">
        <f>Data_inputs!C549*K_factor</f>
        <v>2850.650006107935</v>
      </c>
      <c r="E549">
        <f t="shared" si="16"/>
        <v>-371.75767359610381</v>
      </c>
      <c r="F549">
        <f>Data_inputs!G549-Data_inputs!H549</f>
        <v>51.81984658689089</v>
      </c>
      <c r="G549">
        <f t="shared" si="17"/>
        <v>110.33981874889574</v>
      </c>
    </row>
    <row r="550" spans="1:7" x14ac:dyDescent="0.3">
      <c r="A550">
        <f>Data_inputs!A550</f>
        <v>547</v>
      </c>
      <c r="B550">
        <f>Data_inputs!B550-Data_inputs!C550</f>
        <v>1086.0490067785181</v>
      </c>
      <c r="C550">
        <f>Data_inputs!B550*K_factor</f>
        <v>4633.0528892504735</v>
      </c>
      <c r="D550">
        <f>Data_inputs!C550*K_factor</f>
        <v>2320.532523922433</v>
      </c>
      <c r="E550">
        <f t="shared" si="16"/>
        <v>2312.5203653280405</v>
      </c>
      <c r="F550">
        <f>Data_inputs!G550-Data_inputs!H550</f>
        <v>-93.946313100454063</v>
      </c>
      <c r="G550">
        <f t="shared" si="17"/>
        <v>-200.03955708841198</v>
      </c>
    </row>
    <row r="551" spans="1:7" x14ac:dyDescent="0.3">
      <c r="A551">
        <f>Data_inputs!A551</f>
        <v>548</v>
      </c>
      <c r="B551">
        <f>Data_inputs!B551-Data_inputs!C551</f>
        <v>231.44178931749479</v>
      </c>
      <c r="C551">
        <f>Data_inputs!B551*K_factor</f>
        <v>1571.3089336088804</v>
      </c>
      <c r="D551">
        <f>Data_inputs!C551*K_factor</f>
        <v>1078.5007381737212</v>
      </c>
      <c r="E551">
        <f t="shared" si="16"/>
        <v>492.80819543515918</v>
      </c>
      <c r="F551">
        <f>Data_inputs!G551-Data_inputs!H551</f>
        <v>157.60717762606419</v>
      </c>
      <c r="G551">
        <f t="shared" si="17"/>
        <v>335.59241406909638</v>
      </c>
    </row>
    <row r="552" spans="1:7" x14ac:dyDescent="0.3">
      <c r="A552">
        <f>Data_inputs!A552</f>
        <v>549</v>
      </c>
      <c r="B552">
        <f>Data_inputs!B552-Data_inputs!C552</f>
        <v>92.990724958266469</v>
      </c>
      <c r="C552">
        <f>Data_inputs!B552*K_factor</f>
        <v>1350.3660172234536</v>
      </c>
      <c r="D552">
        <f>Data_inputs!C552*K_factor</f>
        <v>1152.3611906360434</v>
      </c>
      <c r="E552">
        <f t="shared" si="16"/>
        <v>198.00482658741021</v>
      </c>
      <c r="F552">
        <f>Data_inputs!G552-Data_inputs!H552</f>
        <v>38.743622216182985</v>
      </c>
      <c r="G552">
        <f t="shared" si="17"/>
        <v>82.496659766082331</v>
      </c>
    </row>
    <row r="553" spans="1:7" x14ac:dyDescent="0.3">
      <c r="A553">
        <f>Data_inputs!A553</f>
        <v>550</v>
      </c>
      <c r="B553">
        <f>Data_inputs!B553-Data_inputs!C553</f>
        <v>240.2183199325475</v>
      </c>
      <c r="C553">
        <f>Data_inputs!B553*K_factor</f>
        <v>1887.8862943203662</v>
      </c>
      <c r="D553">
        <f>Data_inputs!C553*K_factor</f>
        <v>1376.3902628321757</v>
      </c>
      <c r="E553">
        <f t="shared" si="16"/>
        <v>511.49603148819051</v>
      </c>
      <c r="F553">
        <f>Data_inputs!G553-Data_inputs!H553</f>
        <v>298.33729693156306</v>
      </c>
      <c r="G553">
        <f t="shared" si="17"/>
        <v>635.24856667159065</v>
      </c>
    </row>
    <row r="554" spans="1:7" x14ac:dyDescent="0.3">
      <c r="A554">
        <f>Data_inputs!A554</f>
        <v>551</v>
      </c>
      <c r="B554">
        <f>Data_inputs!B554-Data_inputs!C554</f>
        <v>420.08017633034456</v>
      </c>
      <c r="C554">
        <f>Data_inputs!B554*K_factor</f>
        <v>2528.8299523906448</v>
      </c>
      <c r="D554">
        <f>Data_inputs!C554*K_factor</f>
        <v>1634.3546968807188</v>
      </c>
      <c r="E554">
        <f t="shared" si="16"/>
        <v>894.475255509926</v>
      </c>
      <c r="F554">
        <f>Data_inputs!G554-Data_inputs!H554</f>
        <v>495.07970531183423</v>
      </c>
      <c r="G554">
        <f t="shared" si="17"/>
        <v>1054.1714912020552</v>
      </c>
    </row>
    <row r="555" spans="1:7" x14ac:dyDescent="0.3">
      <c r="A555">
        <f>Data_inputs!A555</f>
        <v>552</v>
      </c>
      <c r="B555">
        <f>Data_inputs!B555-Data_inputs!C555</f>
        <v>447.42756653206334</v>
      </c>
      <c r="C555">
        <f>Data_inputs!B555*K_factor</f>
        <v>2261.1336706530892</v>
      </c>
      <c r="D555">
        <f>Data_inputs!C555*K_factor</f>
        <v>1308.427712490402</v>
      </c>
      <c r="E555">
        <f t="shared" si="16"/>
        <v>952.70595816268724</v>
      </c>
      <c r="F555">
        <f>Data_inputs!G555-Data_inputs!H555</f>
        <v>317.34861191256277</v>
      </c>
      <c r="G555">
        <f t="shared" si="17"/>
        <v>675.72929340751932</v>
      </c>
    </row>
    <row r="556" spans="1:7" x14ac:dyDescent="0.3">
      <c r="A556">
        <f>Data_inputs!A556</f>
        <v>553</v>
      </c>
      <c r="B556">
        <f>Data_inputs!B556-Data_inputs!C556</f>
        <v>308.83505150042208</v>
      </c>
      <c r="C556">
        <f>Data_inputs!B556*K_factor</f>
        <v>2714.7689194651562</v>
      </c>
      <c r="D556">
        <f>Data_inputs!C556*K_factor</f>
        <v>2057.1675205740403</v>
      </c>
      <c r="E556">
        <f t="shared" si="16"/>
        <v>657.60139889111588</v>
      </c>
      <c r="F556">
        <f>Data_inputs!G556-Data_inputs!H556</f>
        <v>164.78451616704024</v>
      </c>
      <c r="G556">
        <f t="shared" si="17"/>
        <v>350.87509601186969</v>
      </c>
    </row>
    <row r="557" spans="1:7" x14ac:dyDescent="0.3">
      <c r="A557">
        <f>Data_inputs!A557</f>
        <v>554</v>
      </c>
      <c r="B557">
        <f>Data_inputs!B557-Data_inputs!C557</f>
        <v>-128.64736651447583</v>
      </c>
      <c r="C557">
        <f>Data_inputs!B557*K_factor</f>
        <v>1453.3558426397653</v>
      </c>
      <c r="D557">
        <f>Data_inputs!C557*K_factor</f>
        <v>1727.2842318318897</v>
      </c>
      <c r="E557">
        <f t="shared" si="16"/>
        <v>-273.92838919212431</v>
      </c>
      <c r="F557">
        <f>Data_inputs!G557-Data_inputs!H557</f>
        <v>162.12000415717421</v>
      </c>
      <c r="G557">
        <f t="shared" si="17"/>
        <v>345.20155987490148</v>
      </c>
    </row>
    <row r="558" spans="1:7" x14ac:dyDescent="0.3">
      <c r="A558">
        <f>Data_inputs!A558</f>
        <v>555</v>
      </c>
      <c r="B558">
        <f>Data_inputs!B558-Data_inputs!C558</f>
        <v>1300.7469253775866</v>
      </c>
      <c r="C558">
        <f>Data_inputs!B558*K_factor</f>
        <v>4692.737501331756</v>
      </c>
      <c r="D558">
        <f>Data_inputs!C558*K_factor</f>
        <v>1923.0616061380729</v>
      </c>
      <c r="E558">
        <f t="shared" si="16"/>
        <v>2769.6758951936831</v>
      </c>
      <c r="F558">
        <f>Data_inputs!G558-Data_inputs!H558</f>
        <v>175.73578572920906</v>
      </c>
      <c r="G558">
        <f t="shared" si="17"/>
        <v>374.19359612618092</v>
      </c>
    </row>
    <row r="559" spans="1:7" x14ac:dyDescent="0.3">
      <c r="A559">
        <f>Data_inputs!A559</f>
        <v>556</v>
      </c>
      <c r="B559">
        <f>Data_inputs!B559-Data_inputs!C559</f>
        <v>224.46706394681576</v>
      </c>
      <c r="C559">
        <f>Data_inputs!B559*K_factor</f>
        <v>1995.8284331902355</v>
      </c>
      <c r="D559">
        <f>Data_inputs!C559*K_factor</f>
        <v>1517.8714961804292</v>
      </c>
      <c r="E559">
        <f t="shared" si="16"/>
        <v>477.95693700980632</v>
      </c>
      <c r="F559">
        <f>Data_inputs!G559-Data_inputs!H559</f>
        <v>204.59207870909586</v>
      </c>
      <c r="G559">
        <f t="shared" si="17"/>
        <v>435.6372002060744</v>
      </c>
    </row>
    <row r="560" spans="1:7" x14ac:dyDescent="0.3">
      <c r="A560">
        <f>Data_inputs!A560</f>
        <v>557</v>
      </c>
      <c r="B560">
        <f>Data_inputs!B560-Data_inputs!C560</f>
        <v>523.42690593443649</v>
      </c>
      <c r="C560">
        <f>Data_inputs!B560*K_factor</f>
        <v>2197.8256736017961</v>
      </c>
      <c r="D560">
        <f>Data_inputs!C560*K_factor</f>
        <v>1083.2945869020618</v>
      </c>
      <c r="E560">
        <f t="shared" si="16"/>
        <v>1114.5310866997343</v>
      </c>
      <c r="F560">
        <f>Data_inputs!G560-Data_inputs!H560</f>
        <v>305.36388066672907</v>
      </c>
      <c r="G560">
        <f t="shared" si="17"/>
        <v>650.21024693172274</v>
      </c>
    </row>
    <row r="561" spans="1:7" x14ac:dyDescent="0.3">
      <c r="A561">
        <f>Data_inputs!A561</f>
        <v>558</v>
      </c>
      <c r="B561">
        <f>Data_inputs!B561-Data_inputs!C561</f>
        <v>149.74355492739807</v>
      </c>
      <c r="C561">
        <f>Data_inputs!B561*K_factor</f>
        <v>1153.7087039175537</v>
      </c>
      <c r="D561">
        <f>Data_inputs!C561*K_factor</f>
        <v>834.86027425654743</v>
      </c>
      <c r="E561">
        <f t="shared" si="16"/>
        <v>318.84842966100632</v>
      </c>
      <c r="F561">
        <f>Data_inputs!G561-Data_inputs!H561</f>
        <v>135.38297902515785</v>
      </c>
      <c r="G561">
        <f t="shared" si="17"/>
        <v>288.27050543797714</v>
      </c>
    </row>
    <row r="562" spans="1:7" x14ac:dyDescent="0.3">
      <c r="A562">
        <f>Data_inputs!A562</f>
        <v>559</v>
      </c>
      <c r="B562">
        <f>Data_inputs!B562-Data_inputs!C562</f>
        <v>235.2738265604811</v>
      </c>
      <c r="C562">
        <f>Data_inputs!B562*K_factor</f>
        <v>1887.1832621233657</v>
      </c>
      <c r="D562">
        <f>Data_inputs!C562*K_factor</f>
        <v>1386.2155231410998</v>
      </c>
      <c r="E562">
        <f t="shared" si="16"/>
        <v>500.96773898226593</v>
      </c>
      <c r="F562">
        <f>Data_inputs!G562-Data_inputs!H562</f>
        <v>372.96506549444803</v>
      </c>
      <c r="G562">
        <f t="shared" si="17"/>
        <v>794.1532141999445</v>
      </c>
    </row>
    <row r="563" spans="1:7" x14ac:dyDescent="0.3">
      <c r="A563">
        <f>Data_inputs!A563</f>
        <v>560</v>
      </c>
      <c r="B563">
        <f>Data_inputs!B563-Data_inputs!C563</f>
        <v>630.61330565801291</v>
      </c>
      <c r="C563">
        <f>Data_inputs!B563*K_factor</f>
        <v>3550.7989962425709</v>
      </c>
      <c r="D563">
        <f>Data_inputs!C563*K_factor</f>
        <v>2208.0362821485937</v>
      </c>
      <c r="E563">
        <f t="shared" si="16"/>
        <v>1342.7627140939771</v>
      </c>
      <c r="F563">
        <f>Data_inputs!G563-Data_inputs!H563</f>
        <v>500.57948233816614</v>
      </c>
      <c r="G563">
        <f t="shared" si="17"/>
        <v>1065.8821472578825</v>
      </c>
    </row>
    <row r="564" spans="1:7" x14ac:dyDescent="0.3">
      <c r="A564">
        <f>Data_inputs!A564</f>
        <v>561</v>
      </c>
      <c r="B564">
        <f>Data_inputs!B564-Data_inputs!C564</f>
        <v>565.09101285164331</v>
      </c>
      <c r="C564">
        <f>Data_inputs!B564*K_factor</f>
        <v>2389.1100959465161</v>
      </c>
      <c r="D564">
        <f>Data_inputs!C564*K_factor</f>
        <v>1185.8637715844959</v>
      </c>
      <c r="E564">
        <f t="shared" si="16"/>
        <v>1203.2463243620202</v>
      </c>
      <c r="F564">
        <f>Data_inputs!G564-Data_inputs!H564</f>
        <v>425.25021922566998</v>
      </c>
      <c r="G564">
        <f t="shared" si="17"/>
        <v>905.48380982970127</v>
      </c>
    </row>
    <row r="565" spans="1:7" x14ac:dyDescent="0.3">
      <c r="A565">
        <f>Data_inputs!A565</f>
        <v>562</v>
      </c>
      <c r="B565">
        <f>Data_inputs!B565-Data_inputs!C565</f>
        <v>-189.18324812589503</v>
      </c>
      <c r="C565">
        <f>Data_inputs!B565*K_factor</f>
        <v>2472.1944594654551</v>
      </c>
      <c r="D565">
        <f>Data_inputs!C565*K_factor</f>
        <v>2875.0216904094259</v>
      </c>
      <c r="E565">
        <f t="shared" si="16"/>
        <v>-402.82723094397079</v>
      </c>
      <c r="F565">
        <f>Data_inputs!G565-Data_inputs!H565</f>
        <v>783.54952154092689</v>
      </c>
      <c r="G565">
        <f t="shared" si="17"/>
        <v>1668.4092656013615</v>
      </c>
    </row>
    <row r="566" spans="1:7" x14ac:dyDescent="0.3">
      <c r="A566">
        <f>Data_inputs!A566</f>
        <v>563</v>
      </c>
      <c r="B566">
        <f>Data_inputs!B566-Data_inputs!C566</f>
        <v>382.79325456470315</v>
      </c>
      <c r="C566">
        <f>Data_inputs!B566*K_factor</f>
        <v>2001.2735244466726</v>
      </c>
      <c r="D566">
        <f>Data_inputs!C566*K_factor</f>
        <v>1186.1931815099911</v>
      </c>
      <c r="E566">
        <f t="shared" si="16"/>
        <v>815.08034293668152</v>
      </c>
      <c r="F566">
        <f>Data_inputs!G566-Data_inputs!H566</f>
        <v>210.17416677658412</v>
      </c>
      <c r="G566">
        <f t="shared" si="17"/>
        <v>447.5231208749874</v>
      </c>
    </row>
    <row r="567" spans="1:7" x14ac:dyDescent="0.3">
      <c r="A567">
        <f>Data_inputs!A567</f>
        <v>564</v>
      </c>
      <c r="B567">
        <f>Data_inputs!B567-Data_inputs!C567</f>
        <v>182.05846929399456</v>
      </c>
      <c r="C567">
        <f>Data_inputs!B567*K_factor</f>
        <v>1670.7247883781292</v>
      </c>
      <c r="D567">
        <f>Data_inputs!C567*K_factor</f>
        <v>1283.0683241715642</v>
      </c>
      <c r="E567">
        <f t="shared" si="16"/>
        <v>387.65646420656503</v>
      </c>
      <c r="F567">
        <f>Data_inputs!G567-Data_inputs!H567</f>
        <v>180.07107665877106</v>
      </c>
      <c r="G567">
        <f t="shared" si="17"/>
        <v>383.42471599430917</v>
      </c>
    </row>
    <row r="568" spans="1:7" x14ac:dyDescent="0.3">
      <c r="A568">
        <f>Data_inputs!A568</f>
        <v>565</v>
      </c>
      <c r="B568">
        <f>Data_inputs!B568-Data_inputs!C568</f>
        <v>532.73724922067845</v>
      </c>
      <c r="C568">
        <f>Data_inputs!B568*K_factor</f>
        <v>2339.5953967719483</v>
      </c>
      <c r="D568">
        <f>Data_inputs!C568*K_factor</f>
        <v>1205.2398285587196</v>
      </c>
      <c r="E568">
        <f t="shared" si="16"/>
        <v>1134.3555682132287</v>
      </c>
      <c r="F568">
        <f>Data_inputs!G568-Data_inputs!H568</f>
        <v>346.7797075857402</v>
      </c>
      <c r="G568">
        <f t="shared" si="17"/>
        <v>738.39682285908896</v>
      </c>
    </row>
    <row r="569" spans="1:7" x14ac:dyDescent="0.3">
      <c r="A569">
        <f>Data_inputs!A569</f>
        <v>566</v>
      </c>
      <c r="B569">
        <f>Data_inputs!B569-Data_inputs!C569</f>
        <v>251.46841151563848</v>
      </c>
      <c r="C569">
        <f>Data_inputs!B569*K_factor</f>
        <v>1570.2710732023002</v>
      </c>
      <c r="D569">
        <f>Data_inputs!C569*K_factor</f>
        <v>1034.8202609120231</v>
      </c>
      <c r="E569">
        <f t="shared" si="16"/>
        <v>535.4508122902771</v>
      </c>
      <c r="F569">
        <f>Data_inputs!G569-Data_inputs!H569</f>
        <v>108.7104221922491</v>
      </c>
      <c r="G569">
        <f t="shared" si="17"/>
        <v>231.47672312567502</v>
      </c>
    </row>
    <row r="570" spans="1:7" x14ac:dyDescent="0.3">
      <c r="A570">
        <f>Data_inputs!A570</f>
        <v>567</v>
      </c>
      <c r="B570">
        <f>Data_inputs!B570-Data_inputs!C570</f>
        <v>295.22079094289234</v>
      </c>
      <c r="C570">
        <f>Data_inputs!B570*K_factor</f>
        <v>1826.1585295116383</v>
      </c>
      <c r="D570">
        <f>Data_inputs!C570*K_factor</f>
        <v>1197.5459281809171</v>
      </c>
      <c r="E570">
        <f t="shared" si="16"/>
        <v>628.61260133072119</v>
      </c>
      <c r="F570">
        <f>Data_inputs!G570-Data_inputs!H570</f>
        <v>341.52905932750605</v>
      </c>
      <c r="G570">
        <f t="shared" si="17"/>
        <v>727.21663582097597</v>
      </c>
    </row>
    <row r="571" spans="1:7" x14ac:dyDescent="0.3">
      <c r="A571">
        <f>Data_inputs!A571</f>
        <v>568</v>
      </c>
      <c r="B571">
        <f>Data_inputs!B571-Data_inputs!C571</f>
        <v>206.65833557666372</v>
      </c>
      <c r="C571">
        <f>Data_inputs!B571*K_factor</f>
        <v>1758.2432093563607</v>
      </c>
      <c r="D571">
        <f>Data_inputs!C571*K_factor</f>
        <v>1318.2063356029357</v>
      </c>
      <c r="E571">
        <f t="shared" si="16"/>
        <v>440.03687375342497</v>
      </c>
      <c r="F571">
        <f>Data_inputs!G571-Data_inputs!H571</f>
        <v>97.953726615945925</v>
      </c>
      <c r="G571">
        <f t="shared" si="17"/>
        <v>208.57252872139065</v>
      </c>
    </row>
    <row r="572" spans="1:7" x14ac:dyDescent="0.3">
      <c r="A572">
        <f>Data_inputs!A572</f>
        <v>569</v>
      </c>
      <c r="B572">
        <f>Data_inputs!B572-Data_inputs!C572</f>
        <v>-32.019412486905765</v>
      </c>
      <c r="C572">
        <f>Data_inputs!B572*K_factor</f>
        <v>1054.8339222034867</v>
      </c>
      <c r="D572">
        <f>Data_inputs!C572*K_factor</f>
        <v>1123.0127456264236</v>
      </c>
      <c r="E572">
        <f t="shared" si="16"/>
        <v>-68.17882342293683</v>
      </c>
      <c r="F572">
        <f>Data_inputs!G572-Data_inputs!H572</f>
        <v>63.40116880890946</v>
      </c>
      <c r="G572">
        <f t="shared" si="17"/>
        <v>134.99988779613525</v>
      </c>
    </row>
    <row r="573" spans="1:7" x14ac:dyDescent="0.3">
      <c r="A573">
        <f>Data_inputs!A573</f>
        <v>570</v>
      </c>
      <c r="B573">
        <f>Data_inputs!B573-Data_inputs!C573</f>
        <v>445.81808337366948</v>
      </c>
      <c r="C573">
        <f>Data_inputs!B573*K_factor</f>
        <v>1946.1646505200724</v>
      </c>
      <c r="D573">
        <f>Data_inputs!C573*K_factor</f>
        <v>996.88575923761573</v>
      </c>
      <c r="E573">
        <f t="shared" si="16"/>
        <v>949.2788912824567</v>
      </c>
      <c r="F573">
        <f>Data_inputs!G573-Data_inputs!H573</f>
        <v>339.50006794519504</v>
      </c>
      <c r="G573">
        <f t="shared" si="17"/>
        <v>722.89631154151539</v>
      </c>
    </row>
    <row r="574" spans="1:7" x14ac:dyDescent="0.3">
      <c r="A574">
        <f>Data_inputs!A574</f>
        <v>571</v>
      </c>
      <c r="B574">
        <f>Data_inputs!B574-Data_inputs!C574</f>
        <v>589.53796316417402</v>
      </c>
      <c r="C574">
        <f>Data_inputs!B574*K_factor</f>
        <v>3701.4901357028953</v>
      </c>
      <c r="D574">
        <f>Data_inputs!C574*K_factor</f>
        <v>2446.1890052363301</v>
      </c>
      <c r="E574">
        <f t="shared" si="16"/>
        <v>1255.3011304665652</v>
      </c>
      <c r="F574">
        <f>Data_inputs!G574-Data_inputs!H574</f>
        <v>-84.176918802729006</v>
      </c>
      <c r="G574">
        <f t="shared" si="17"/>
        <v>-179.23761985592751</v>
      </c>
    </row>
    <row r="575" spans="1:7" x14ac:dyDescent="0.3">
      <c r="A575">
        <f>Data_inputs!A575</f>
        <v>572</v>
      </c>
      <c r="B575">
        <f>Data_inputs!B575-Data_inputs!C575</f>
        <v>232.89391919321656</v>
      </c>
      <c r="C575">
        <f>Data_inputs!B575*K_factor</f>
        <v>1861.0836007386633</v>
      </c>
      <c r="D575">
        <f>Data_inputs!C575*K_factor</f>
        <v>1365.1833902197018</v>
      </c>
      <c r="E575">
        <f t="shared" si="16"/>
        <v>495.90021051896156</v>
      </c>
      <c r="F575">
        <f>Data_inputs!G575-Data_inputs!H575</f>
        <v>269.55692181271093</v>
      </c>
      <c r="G575">
        <f t="shared" si="17"/>
        <v>573.96661422862985</v>
      </c>
    </row>
    <row r="576" spans="1:7" x14ac:dyDescent="0.3">
      <c r="A576">
        <f>Data_inputs!A576</f>
        <v>573</v>
      </c>
      <c r="B576">
        <f>Data_inputs!B576-Data_inputs!C576</f>
        <v>1358.6855207641211</v>
      </c>
      <c r="C576">
        <f>Data_inputs!B576*K_factor</f>
        <v>5104.077131828778</v>
      </c>
      <c r="D576">
        <f>Data_inputs!C576*K_factor</f>
        <v>2211.0327873905339</v>
      </c>
      <c r="E576">
        <f t="shared" si="16"/>
        <v>2893.044344438244</v>
      </c>
      <c r="F576">
        <f>Data_inputs!G576-Data_inputs!H576</f>
        <v>47.129934260807204</v>
      </c>
      <c r="G576">
        <f t="shared" si="17"/>
        <v>100.35360477698491</v>
      </c>
    </row>
    <row r="577" spans="1:7" x14ac:dyDescent="0.3">
      <c r="A577">
        <f>Data_inputs!A577</f>
        <v>574</v>
      </c>
      <c r="B577">
        <f>Data_inputs!B577-Data_inputs!C577</f>
        <v>466.17174620648996</v>
      </c>
      <c r="C577">
        <f>Data_inputs!B577*K_factor</f>
        <v>2456.4357693535171</v>
      </c>
      <c r="D577">
        <f>Data_inputs!C577*K_factor</f>
        <v>1463.817894732239</v>
      </c>
      <c r="E577">
        <f t="shared" si="16"/>
        <v>992.61787462127813</v>
      </c>
      <c r="F577">
        <f>Data_inputs!G577-Data_inputs!H577</f>
        <v>358.64525582069837</v>
      </c>
      <c r="G577">
        <f t="shared" si="17"/>
        <v>763.66209336517284</v>
      </c>
    </row>
    <row r="578" spans="1:7" x14ac:dyDescent="0.3">
      <c r="A578">
        <f>Data_inputs!A578</f>
        <v>575</v>
      </c>
      <c r="B578">
        <f>Data_inputs!B578-Data_inputs!C578</f>
        <v>756.62214147904115</v>
      </c>
      <c r="C578">
        <f>Data_inputs!B578*K_factor</f>
        <v>3697.513576527117</v>
      </c>
      <c r="D578">
        <f>Data_inputs!C578*K_factor</f>
        <v>2086.4406874514771</v>
      </c>
      <c r="E578">
        <f t="shared" si="16"/>
        <v>1611.07288907564</v>
      </c>
      <c r="F578">
        <f>Data_inputs!G578-Data_inputs!H578</f>
        <v>157.72518273167407</v>
      </c>
      <c r="G578">
        <f t="shared" si="17"/>
        <v>335.84368192923188</v>
      </c>
    </row>
    <row r="579" spans="1:7" x14ac:dyDescent="0.3">
      <c r="A579">
        <f>Data_inputs!A579</f>
        <v>576</v>
      </c>
      <c r="B579">
        <f>Data_inputs!B579-Data_inputs!C579</f>
        <v>-89.067904175303056</v>
      </c>
      <c r="C579">
        <f>Data_inputs!B579*K_factor</f>
        <v>4158.9168992734631</v>
      </c>
      <c r="D579">
        <f>Data_inputs!C579*K_factor</f>
        <v>4348.5688772384683</v>
      </c>
      <c r="E579">
        <f t="shared" si="16"/>
        <v>-189.65197796500524</v>
      </c>
      <c r="F579">
        <f>Data_inputs!G579-Data_inputs!H579</f>
        <v>117.08318524939432</v>
      </c>
      <c r="G579">
        <f t="shared" si="17"/>
        <v>249.30481832475584</v>
      </c>
    </row>
    <row r="580" spans="1:7" x14ac:dyDescent="0.3">
      <c r="A580">
        <f>Data_inputs!A580</f>
        <v>577</v>
      </c>
      <c r="B580">
        <f>Data_inputs!B580-Data_inputs!C580</f>
        <v>274.70726606478127</v>
      </c>
      <c r="C580">
        <f>Data_inputs!B580*K_factor</f>
        <v>1666.4305709828795</v>
      </c>
      <c r="D580">
        <f>Data_inputs!C580*K_factor</f>
        <v>1081.4973466869089</v>
      </c>
      <c r="E580">
        <f t="shared" ref="E580:E643" si="18">C580-D580</f>
        <v>584.9332242959706</v>
      </c>
      <c r="F580">
        <f>Data_inputs!G580-Data_inputs!H580</f>
        <v>152.28882539350889</v>
      </c>
      <c r="G580">
        <f t="shared" ref="G580:G643" si="19">F580*K_factor</f>
        <v>324.26806519440504</v>
      </c>
    </row>
    <row r="581" spans="1:7" x14ac:dyDescent="0.3">
      <c r="A581">
        <f>Data_inputs!A581</f>
        <v>578</v>
      </c>
      <c r="B581">
        <f>Data_inputs!B581-Data_inputs!C581</f>
        <v>-10.272917948599115</v>
      </c>
      <c r="C581">
        <f>Data_inputs!B581*K_factor</f>
        <v>2651.1386986254956</v>
      </c>
      <c r="D581">
        <f>Data_inputs!C581*K_factor</f>
        <v>2673.0127870130414</v>
      </c>
      <c r="E581">
        <f t="shared" si="18"/>
        <v>-21.874088387545726</v>
      </c>
      <c r="F581">
        <f>Data_inputs!G581-Data_inputs!H581</f>
        <v>192.15991641494338</v>
      </c>
      <c r="G581">
        <f t="shared" si="19"/>
        <v>409.16544035835881</v>
      </c>
    </row>
    <row r="582" spans="1:7" x14ac:dyDescent="0.3">
      <c r="A582">
        <f>Data_inputs!A582</f>
        <v>579</v>
      </c>
      <c r="B582">
        <f>Data_inputs!B582-Data_inputs!C582</f>
        <v>345.10633436848843</v>
      </c>
      <c r="C582">
        <f>Data_inputs!B582*K_factor</f>
        <v>2098.0307255466514</v>
      </c>
      <c r="D582">
        <f>Data_inputs!C582*K_factor</f>
        <v>1363.1970104474672</v>
      </c>
      <c r="E582">
        <f t="shared" si="18"/>
        <v>734.83371509918425</v>
      </c>
      <c r="F582">
        <f>Data_inputs!G582-Data_inputs!H582</f>
        <v>279.28555142736286</v>
      </c>
      <c r="G582">
        <f t="shared" si="19"/>
        <v>594.68175136350874</v>
      </c>
    </row>
    <row r="583" spans="1:7" x14ac:dyDescent="0.3">
      <c r="A583">
        <f>Data_inputs!A583</f>
        <v>580</v>
      </c>
      <c r="B583">
        <f>Data_inputs!B583-Data_inputs!C583</f>
        <v>517.70142401090516</v>
      </c>
      <c r="C583">
        <f>Data_inputs!B583*K_factor</f>
        <v>3663.6915638993437</v>
      </c>
      <c r="D583">
        <f>Data_inputs!C583*K_factor</f>
        <v>2561.3517259064774</v>
      </c>
      <c r="E583">
        <f t="shared" si="18"/>
        <v>1102.3398379928663</v>
      </c>
      <c r="F583">
        <f>Data_inputs!G583-Data_inputs!H583</f>
        <v>491.08766900606088</v>
      </c>
      <c r="G583">
        <f t="shared" si="19"/>
        <v>1045.6712622081418</v>
      </c>
    </row>
    <row r="584" spans="1:7" x14ac:dyDescent="0.3">
      <c r="A584">
        <f>Data_inputs!A584</f>
        <v>581</v>
      </c>
      <c r="B584">
        <f>Data_inputs!B584-Data_inputs!C584</f>
        <v>805.56650109897464</v>
      </c>
      <c r="C584">
        <f>Data_inputs!B584*K_factor</f>
        <v>2462.9425946030597</v>
      </c>
      <c r="D584">
        <f>Data_inputs!C584*K_factor</f>
        <v>747.65265115639363</v>
      </c>
      <c r="E584">
        <f t="shared" si="18"/>
        <v>1715.289943446666</v>
      </c>
      <c r="F584">
        <f>Data_inputs!G584-Data_inputs!H584</f>
        <v>482.16265340893301</v>
      </c>
      <c r="G584">
        <f t="shared" si="19"/>
        <v>1026.6672576002377</v>
      </c>
    </row>
    <row r="585" spans="1:7" x14ac:dyDescent="0.3">
      <c r="A585">
        <f>Data_inputs!A585</f>
        <v>582</v>
      </c>
      <c r="B585">
        <f>Data_inputs!B585-Data_inputs!C585</f>
        <v>654.79180409305116</v>
      </c>
      <c r="C585">
        <f>Data_inputs!B585*K_factor</f>
        <v>2567.7299510295361</v>
      </c>
      <c r="D585">
        <f>Data_inputs!C585*K_factor</f>
        <v>1173.4840444782221</v>
      </c>
      <c r="E585">
        <f t="shared" si="18"/>
        <v>1394.245906551314</v>
      </c>
      <c r="F585">
        <f>Data_inputs!G585-Data_inputs!H585</f>
        <v>439.54443290395602</v>
      </c>
      <c r="G585">
        <f t="shared" si="19"/>
        <v>935.92042920053257</v>
      </c>
    </row>
    <row r="586" spans="1:7" x14ac:dyDescent="0.3">
      <c r="A586">
        <f>Data_inputs!A586</f>
        <v>583</v>
      </c>
      <c r="B586">
        <f>Data_inputs!B586-Data_inputs!C586</f>
        <v>206.09665479282415</v>
      </c>
      <c r="C586">
        <f>Data_inputs!B586*K_factor</f>
        <v>1254.3736163583637</v>
      </c>
      <c r="D586">
        <f>Data_inputs!C586*K_factor</f>
        <v>815.5327275405499</v>
      </c>
      <c r="E586">
        <f t="shared" si="18"/>
        <v>438.84088881781383</v>
      </c>
      <c r="F586">
        <f>Data_inputs!G586-Data_inputs!H586</f>
        <v>151.45471096216102</v>
      </c>
      <c r="G586">
        <f t="shared" si="19"/>
        <v>322.49198824256695</v>
      </c>
    </row>
    <row r="587" spans="1:7" x14ac:dyDescent="0.3">
      <c r="A587">
        <f>Data_inputs!A587</f>
        <v>584</v>
      </c>
      <c r="B587">
        <f>Data_inputs!B587-Data_inputs!C587</f>
        <v>185.97475400883593</v>
      </c>
      <c r="C587">
        <f>Data_inputs!B587*K_factor</f>
        <v>1508.3406984778642</v>
      </c>
      <c r="D587">
        <f>Data_inputs!C587*K_factor</f>
        <v>1112.3453028759682</v>
      </c>
      <c r="E587">
        <f t="shared" si="18"/>
        <v>395.99539560189601</v>
      </c>
      <c r="F587">
        <f>Data_inputs!G587-Data_inputs!H587</f>
        <v>171.36139134727705</v>
      </c>
      <c r="G587">
        <f t="shared" si="19"/>
        <v>364.87921341319412</v>
      </c>
    </row>
    <row r="588" spans="1:7" x14ac:dyDescent="0.3">
      <c r="A588">
        <f>Data_inputs!A588</f>
        <v>585</v>
      </c>
      <c r="B588">
        <f>Data_inputs!B588-Data_inputs!C588</f>
        <v>285.54888257753294</v>
      </c>
      <c r="C588">
        <f>Data_inputs!B588*K_factor</f>
        <v>1716.5462442083508</v>
      </c>
      <c r="D588">
        <f>Data_inputs!C588*K_factor</f>
        <v>1108.5280036540596</v>
      </c>
      <c r="E588">
        <f t="shared" si="18"/>
        <v>608.0182405542912</v>
      </c>
      <c r="F588">
        <f>Data_inputs!G588-Data_inputs!H588</f>
        <v>132.61193131318396</v>
      </c>
      <c r="G588">
        <f t="shared" si="19"/>
        <v>282.37012320178019</v>
      </c>
    </row>
    <row r="589" spans="1:7" x14ac:dyDescent="0.3">
      <c r="A589">
        <f>Data_inputs!A589</f>
        <v>586</v>
      </c>
      <c r="B589">
        <f>Data_inputs!B589-Data_inputs!C589</f>
        <v>623.66352753339015</v>
      </c>
      <c r="C589">
        <f>Data_inputs!B589*K_factor</f>
        <v>4166.4932024921027</v>
      </c>
      <c r="D589">
        <f>Data_inputs!C589*K_factor</f>
        <v>2838.5286267393899</v>
      </c>
      <c r="E589">
        <f t="shared" si="18"/>
        <v>1327.9645757527128</v>
      </c>
      <c r="F589">
        <f>Data_inputs!G589-Data_inputs!H589</f>
        <v>684.03496071167274</v>
      </c>
      <c r="G589">
        <f t="shared" si="19"/>
        <v>1456.5132580289726</v>
      </c>
    </row>
    <row r="590" spans="1:7" x14ac:dyDescent="0.3">
      <c r="A590">
        <f>Data_inputs!A590</f>
        <v>587</v>
      </c>
      <c r="B590">
        <f>Data_inputs!B590-Data_inputs!C590</f>
        <v>417.57659996504799</v>
      </c>
      <c r="C590">
        <f>Data_inputs!B590*K_factor</f>
        <v>3948.7340908697761</v>
      </c>
      <c r="D590">
        <f>Data_inputs!C590*K_factor</f>
        <v>3059.5896917896862</v>
      </c>
      <c r="E590">
        <f t="shared" si="18"/>
        <v>889.1443990800899</v>
      </c>
      <c r="F590">
        <f>Data_inputs!G590-Data_inputs!H590</f>
        <v>-46.331657347811415</v>
      </c>
      <c r="G590">
        <f t="shared" si="19"/>
        <v>-98.653836528082635</v>
      </c>
    </row>
    <row r="591" spans="1:7" x14ac:dyDescent="0.3">
      <c r="A591">
        <f>Data_inputs!A591</f>
        <v>588</v>
      </c>
      <c r="B591">
        <f>Data_inputs!B591-Data_inputs!C591</f>
        <v>411.51897957248536</v>
      </c>
      <c r="C591">
        <f>Data_inputs!B591*K_factor</f>
        <v>2306.6220974420444</v>
      </c>
      <c r="D591">
        <f>Data_inputs!C591*K_factor</f>
        <v>1430.3761683534512</v>
      </c>
      <c r="E591">
        <f t="shared" si="18"/>
        <v>876.24592908859313</v>
      </c>
      <c r="F591">
        <f>Data_inputs!G591-Data_inputs!H591</f>
        <v>322.91698083750407</v>
      </c>
      <c r="G591">
        <f t="shared" si="19"/>
        <v>687.58600195401732</v>
      </c>
    </row>
    <row r="592" spans="1:7" x14ac:dyDescent="0.3">
      <c r="A592">
        <f>Data_inputs!A592</f>
        <v>589</v>
      </c>
      <c r="B592">
        <f>Data_inputs!B592-Data_inputs!C592</f>
        <v>340.26060877752155</v>
      </c>
      <c r="C592">
        <f>Data_inputs!B592*K_factor</f>
        <v>1735.8134904318201</v>
      </c>
      <c r="D592">
        <f>Data_inputs!C592*K_factor</f>
        <v>1011.297761946464</v>
      </c>
      <c r="E592">
        <f t="shared" si="18"/>
        <v>724.51572848535614</v>
      </c>
      <c r="F592">
        <f>Data_inputs!G592-Data_inputs!H592</f>
        <v>237.24029977949385</v>
      </c>
      <c r="G592">
        <f t="shared" si="19"/>
        <v>505.15494355448698</v>
      </c>
    </row>
    <row r="593" spans="1:7" x14ac:dyDescent="0.3">
      <c r="A593">
        <f>Data_inputs!A593</f>
        <v>590</v>
      </c>
      <c r="B593">
        <f>Data_inputs!B593-Data_inputs!C593</f>
        <v>391.19241878477271</v>
      </c>
      <c r="C593">
        <f>Data_inputs!B593*K_factor</f>
        <v>2032.6345881401066</v>
      </c>
      <c r="D593">
        <f>Data_inputs!C593*K_factor</f>
        <v>1199.6699341001358</v>
      </c>
      <c r="E593">
        <f t="shared" si="18"/>
        <v>832.96465403997081</v>
      </c>
      <c r="F593">
        <f>Data_inputs!G593-Data_inputs!H593</f>
        <v>262.95454105794397</v>
      </c>
      <c r="G593">
        <f t="shared" si="19"/>
        <v>559.90818789634352</v>
      </c>
    </row>
    <row r="594" spans="1:7" x14ac:dyDescent="0.3">
      <c r="A594">
        <f>Data_inputs!A594</f>
        <v>591</v>
      </c>
      <c r="B594">
        <f>Data_inputs!B594-Data_inputs!C594</f>
        <v>296.79429658267986</v>
      </c>
      <c r="C594">
        <f>Data_inputs!B594*K_factor</f>
        <v>1802.8906263878107</v>
      </c>
      <c r="D594">
        <f>Data_inputs!C594*K_factor</f>
        <v>1170.9275649818478</v>
      </c>
      <c r="E594">
        <f t="shared" si="18"/>
        <v>631.96306140596289</v>
      </c>
      <c r="F594">
        <f>Data_inputs!G594-Data_inputs!H594</f>
        <v>195.16410970897095</v>
      </c>
      <c r="G594">
        <f t="shared" si="19"/>
        <v>415.56225866992645</v>
      </c>
    </row>
    <row r="595" spans="1:7" x14ac:dyDescent="0.3">
      <c r="A595">
        <f>Data_inputs!A595</f>
        <v>592</v>
      </c>
      <c r="B595">
        <f>Data_inputs!B595-Data_inputs!C595</f>
        <v>253.25446787318623</v>
      </c>
      <c r="C595">
        <f>Data_inputs!B595*K_factor</f>
        <v>1500.0615955571845</v>
      </c>
      <c r="D595">
        <f>Data_inputs!C595*K_factor</f>
        <v>960.80773968906351</v>
      </c>
      <c r="E595">
        <f t="shared" si="18"/>
        <v>539.25385586812104</v>
      </c>
      <c r="F595">
        <f>Data_inputs!G595-Data_inputs!H595</f>
        <v>212.82695078445204</v>
      </c>
      <c r="G595">
        <f t="shared" si="19"/>
        <v>453.17168461817232</v>
      </c>
    </row>
    <row r="596" spans="1:7" x14ac:dyDescent="0.3">
      <c r="A596">
        <f>Data_inputs!A596</f>
        <v>593</v>
      </c>
      <c r="B596">
        <f>Data_inputs!B596-Data_inputs!C596</f>
        <v>204.28270200546899</v>
      </c>
      <c r="C596">
        <f>Data_inputs!B596*K_factor</f>
        <v>2968.1832938894659</v>
      </c>
      <c r="D596">
        <f>Data_inputs!C596*K_factor</f>
        <v>2533.2048484202678</v>
      </c>
      <c r="E596">
        <f t="shared" si="18"/>
        <v>434.97844546919805</v>
      </c>
      <c r="F596">
        <f>Data_inputs!G596-Data_inputs!H596</f>
        <v>249.63808573376809</v>
      </c>
      <c r="G596">
        <f t="shared" si="19"/>
        <v>531.55350598149903</v>
      </c>
    </row>
    <row r="597" spans="1:7" x14ac:dyDescent="0.3">
      <c r="A597">
        <f>Data_inputs!A597</f>
        <v>594</v>
      </c>
      <c r="B597">
        <f>Data_inputs!B597-Data_inputs!C597</f>
        <v>86.560154317020931</v>
      </c>
      <c r="C597">
        <f>Data_inputs!B597*K_factor</f>
        <v>1212.5568733604455</v>
      </c>
      <c r="D597">
        <f>Data_inputs!C597*K_factor</f>
        <v>1028.2446384293467</v>
      </c>
      <c r="E597">
        <f t="shared" si="18"/>
        <v>184.31223493109883</v>
      </c>
      <c r="F597">
        <f>Data_inputs!G597-Data_inputs!H597</f>
        <v>207.78548775552792</v>
      </c>
      <c r="G597">
        <f t="shared" si="19"/>
        <v>442.43691495983319</v>
      </c>
    </row>
    <row r="598" spans="1:7" x14ac:dyDescent="0.3">
      <c r="A598">
        <f>Data_inputs!A598</f>
        <v>595</v>
      </c>
      <c r="B598">
        <f>Data_inputs!B598-Data_inputs!C598</f>
        <v>785.98336210513889</v>
      </c>
      <c r="C598">
        <f>Data_inputs!B598*K_factor</f>
        <v>4450.342554488886</v>
      </c>
      <c r="D598">
        <f>Data_inputs!C598*K_factor</f>
        <v>2776.750920655913</v>
      </c>
      <c r="E598">
        <f t="shared" si="18"/>
        <v>1673.591633832973</v>
      </c>
      <c r="F598">
        <f>Data_inputs!G598-Data_inputs!H598</f>
        <v>665.37361822908952</v>
      </c>
      <c r="G598">
        <f t="shared" si="19"/>
        <v>1416.7777265142925</v>
      </c>
    </row>
    <row r="599" spans="1:7" x14ac:dyDescent="0.3">
      <c r="A599">
        <f>Data_inputs!A599</f>
        <v>596</v>
      </c>
      <c r="B599">
        <f>Data_inputs!B599-Data_inputs!C599</f>
        <v>126.5971677774196</v>
      </c>
      <c r="C599">
        <f>Data_inputs!B599*K_factor</f>
        <v>1480.9310407383393</v>
      </c>
      <c r="D599">
        <f>Data_inputs!C599*K_factor</f>
        <v>1211.3681325722284</v>
      </c>
      <c r="E599">
        <f t="shared" si="18"/>
        <v>269.5629081661109</v>
      </c>
      <c r="F599">
        <f>Data_inputs!G599-Data_inputs!H599</f>
        <v>-81.464975548607981</v>
      </c>
      <c r="G599">
        <f t="shared" si="19"/>
        <v>-173.46308853586174</v>
      </c>
    </row>
    <row r="600" spans="1:7" x14ac:dyDescent="0.3">
      <c r="A600">
        <f>Data_inputs!A600</f>
        <v>597</v>
      </c>
      <c r="B600">
        <f>Data_inputs!B600-Data_inputs!C600</f>
        <v>409.81268497240092</v>
      </c>
      <c r="C600">
        <f>Data_inputs!B600*K_factor</f>
        <v>1997.3944245293876</v>
      </c>
      <c r="D600">
        <f>Data_inputs!C600*K_factor</f>
        <v>1124.781702586436</v>
      </c>
      <c r="E600">
        <f t="shared" si="18"/>
        <v>872.61272194295157</v>
      </c>
      <c r="F600">
        <f>Data_inputs!G600-Data_inputs!H600</f>
        <v>301.41995330115901</v>
      </c>
      <c r="G600">
        <f t="shared" si="19"/>
        <v>641.81245613652766</v>
      </c>
    </row>
    <row r="601" spans="1:7" x14ac:dyDescent="0.3">
      <c r="A601">
        <f>Data_inputs!A601</f>
        <v>598</v>
      </c>
      <c r="B601">
        <f>Data_inputs!B601-Data_inputs!C601</f>
        <v>876.48565735079603</v>
      </c>
      <c r="C601">
        <f>Data_inputs!B601*K_factor</f>
        <v>3916.2199613229386</v>
      </c>
      <c r="D601">
        <f>Data_inputs!C601*K_factor</f>
        <v>2049.9221056176098</v>
      </c>
      <c r="E601">
        <f t="shared" si="18"/>
        <v>1866.2978557053289</v>
      </c>
      <c r="F601">
        <f>Data_inputs!G601-Data_inputs!H601</f>
        <v>-118.88623470979405</v>
      </c>
      <c r="G601">
        <f t="shared" si="19"/>
        <v>-253.1440452572827</v>
      </c>
    </row>
    <row r="602" spans="1:7" x14ac:dyDescent="0.3">
      <c r="A602">
        <f>Data_inputs!A602</f>
        <v>599</v>
      </c>
      <c r="B602">
        <f>Data_inputs!B602-Data_inputs!C602</f>
        <v>177.79212681347303</v>
      </c>
      <c r="C602">
        <f>Data_inputs!B602*K_factor</f>
        <v>2788.8830777121962</v>
      </c>
      <c r="D602">
        <f>Data_inputs!C602*K_factor</f>
        <v>2410.3109216814978</v>
      </c>
      <c r="E602">
        <f t="shared" si="18"/>
        <v>378.57215603069835</v>
      </c>
      <c r="F602">
        <f>Data_inputs!G602-Data_inputs!H602</f>
        <v>228.4809362802348</v>
      </c>
      <c r="G602">
        <f t="shared" si="19"/>
        <v>486.50366138128891</v>
      </c>
    </row>
    <row r="603" spans="1:7" x14ac:dyDescent="0.3">
      <c r="A603">
        <f>Data_inputs!A603</f>
        <v>600</v>
      </c>
      <c r="B603">
        <f>Data_inputs!B603-Data_inputs!C603</f>
        <v>663.76123672790413</v>
      </c>
      <c r="C603">
        <f>Data_inputs!B603*K_factor</f>
        <v>2983.0556736852545</v>
      </c>
      <c r="D603">
        <f>Data_inputs!C603*K_factor</f>
        <v>1569.7111854823986</v>
      </c>
      <c r="E603">
        <f t="shared" si="18"/>
        <v>1413.3444882028559</v>
      </c>
      <c r="F603">
        <f>Data_inputs!G603-Data_inputs!H603</f>
        <v>546.32507071521923</v>
      </c>
      <c r="G603">
        <f t="shared" si="19"/>
        <v>1163.288069168939</v>
      </c>
    </row>
    <row r="604" spans="1:7" x14ac:dyDescent="0.3">
      <c r="A604">
        <f>Data_inputs!A604</f>
        <v>601</v>
      </c>
      <c r="B604">
        <f>Data_inputs!B604-Data_inputs!C604</f>
        <v>340.01655402798815</v>
      </c>
      <c r="C604">
        <f>Data_inputs!B604*K_factor</f>
        <v>1767.7437751213874</v>
      </c>
      <c r="D604">
        <f>Data_inputs!C604*K_factor</f>
        <v>1043.7477115636989</v>
      </c>
      <c r="E604">
        <f t="shared" si="18"/>
        <v>723.99606355768856</v>
      </c>
      <c r="F604">
        <f>Data_inputs!G604-Data_inputs!H604</f>
        <v>351.75429384244194</v>
      </c>
      <c r="G604">
        <f t="shared" si="19"/>
        <v>748.9891920393959</v>
      </c>
    </row>
    <row r="605" spans="1:7" x14ac:dyDescent="0.3">
      <c r="A605">
        <f>Data_inputs!A605</f>
        <v>602</v>
      </c>
      <c r="B605">
        <f>Data_inputs!B605-Data_inputs!C605</f>
        <v>448.30148380985418</v>
      </c>
      <c r="C605">
        <f>Data_inputs!B605*K_factor</f>
        <v>2171.1823112249645</v>
      </c>
      <c r="D605">
        <f>Data_inputs!C605*K_factor</f>
        <v>1216.6155240482183</v>
      </c>
      <c r="E605">
        <f t="shared" si="18"/>
        <v>954.56678717674617</v>
      </c>
      <c r="F605">
        <f>Data_inputs!G605-Data_inputs!H605</f>
        <v>350.68922619645491</v>
      </c>
      <c r="G605">
        <f t="shared" si="19"/>
        <v>746.72134721248267</v>
      </c>
    </row>
    <row r="606" spans="1:7" x14ac:dyDescent="0.3">
      <c r="A606">
        <f>Data_inputs!A606</f>
        <v>603</v>
      </c>
      <c r="B606">
        <f>Data_inputs!B606-Data_inputs!C606</f>
        <v>313.87674102480469</v>
      </c>
      <c r="C606">
        <f>Data_inputs!B606*K_factor</f>
        <v>2180.6192914559811</v>
      </c>
      <c r="D606">
        <f>Data_inputs!C606*K_factor</f>
        <v>1512.2826406305355</v>
      </c>
      <c r="E606">
        <f t="shared" si="18"/>
        <v>668.33665082544553</v>
      </c>
      <c r="F606">
        <f>Data_inputs!G606-Data_inputs!H606</f>
        <v>317.97268365115178</v>
      </c>
      <c r="G606">
        <f t="shared" si="19"/>
        <v>677.05812718565016</v>
      </c>
    </row>
    <row r="607" spans="1:7" x14ac:dyDescent="0.3">
      <c r="A607">
        <f>Data_inputs!A607</f>
        <v>604</v>
      </c>
      <c r="B607">
        <f>Data_inputs!B607-Data_inputs!C607</f>
        <v>673.77414405346974</v>
      </c>
      <c r="C607">
        <f>Data_inputs!B607*K_factor</f>
        <v>3335.8006151556351</v>
      </c>
      <c r="D607">
        <f>Data_inputs!C607*K_factor</f>
        <v>1901.1356782787398</v>
      </c>
      <c r="E607">
        <f t="shared" si="18"/>
        <v>1434.6649368768954</v>
      </c>
      <c r="F607">
        <f>Data_inputs!G607-Data_inputs!H607</f>
        <v>-35.396729908921316</v>
      </c>
      <c r="G607">
        <f t="shared" si="19"/>
        <v>-75.370133639917611</v>
      </c>
    </row>
    <row r="608" spans="1:7" x14ac:dyDescent="0.3">
      <c r="A608">
        <f>Data_inputs!A608</f>
        <v>605</v>
      </c>
      <c r="B608">
        <f>Data_inputs!B608-Data_inputs!C608</f>
        <v>487.21727490665342</v>
      </c>
      <c r="C608">
        <f>Data_inputs!B608*K_factor</f>
        <v>2413.7361079460798</v>
      </c>
      <c r="D608">
        <f>Data_inputs!C608*K_factor</f>
        <v>1376.3060624057512</v>
      </c>
      <c r="E608">
        <f t="shared" si="18"/>
        <v>1037.4300455403286</v>
      </c>
      <c r="F608">
        <f>Data_inputs!G608-Data_inputs!H608</f>
        <v>344.09547967059461</v>
      </c>
      <c r="G608">
        <f t="shared" si="19"/>
        <v>732.68130571371762</v>
      </c>
    </row>
    <row r="609" spans="1:7" x14ac:dyDescent="0.3">
      <c r="A609">
        <f>Data_inputs!A609</f>
        <v>606</v>
      </c>
      <c r="B609">
        <f>Data_inputs!B609-Data_inputs!C609</f>
        <v>291.41955590983503</v>
      </c>
      <c r="C609">
        <f>Data_inputs!B609*K_factor</f>
        <v>1850.9050146262778</v>
      </c>
      <c r="D609">
        <f>Data_inputs!C609*K_factor</f>
        <v>1230.3863698044049</v>
      </c>
      <c r="E609">
        <f t="shared" si="18"/>
        <v>620.51864482187284</v>
      </c>
      <c r="F609">
        <f>Data_inputs!G609-Data_inputs!H609</f>
        <v>212.260317001065</v>
      </c>
      <c r="G609">
        <f t="shared" si="19"/>
        <v>451.96515327788575</v>
      </c>
    </row>
    <row r="610" spans="1:7" x14ac:dyDescent="0.3">
      <c r="A610">
        <f>Data_inputs!A610</f>
        <v>607</v>
      </c>
      <c r="B610">
        <f>Data_inputs!B610-Data_inputs!C610</f>
        <v>235.15008073918369</v>
      </c>
      <c r="C610">
        <f>Data_inputs!B610*K_factor</f>
        <v>1378.4905624594321</v>
      </c>
      <c r="D610">
        <f>Data_inputs!C610*K_factor</f>
        <v>877.78631502320923</v>
      </c>
      <c r="E610">
        <f t="shared" si="18"/>
        <v>500.70424743622289</v>
      </c>
      <c r="F610">
        <f>Data_inputs!G610-Data_inputs!H610</f>
        <v>201.39962814006503</v>
      </c>
      <c r="G610">
        <f t="shared" si="19"/>
        <v>428.83952633490588</v>
      </c>
    </row>
    <row r="611" spans="1:7" x14ac:dyDescent="0.3">
      <c r="A611">
        <f>Data_inputs!A611</f>
        <v>608</v>
      </c>
      <c r="B611">
        <f>Data_inputs!B611-Data_inputs!C611</f>
        <v>616.09628481037828</v>
      </c>
      <c r="C611">
        <f>Data_inputs!B611*K_factor</f>
        <v>3388.7819452014401</v>
      </c>
      <c r="D611">
        <f>Data_inputs!C611*K_factor</f>
        <v>2076.9302730075206</v>
      </c>
      <c r="E611">
        <f t="shared" si="18"/>
        <v>1311.8516721939195</v>
      </c>
      <c r="F611">
        <f>Data_inputs!G611-Data_inputs!H611</f>
        <v>678.20418669325409</v>
      </c>
      <c r="G611">
        <f t="shared" si="19"/>
        <v>1444.0978112313969</v>
      </c>
    </row>
    <row r="612" spans="1:7" x14ac:dyDescent="0.3">
      <c r="A612">
        <f>Data_inputs!A612</f>
        <v>609</v>
      </c>
      <c r="B612">
        <f>Data_inputs!B612-Data_inputs!C612</f>
        <v>209.06329661596362</v>
      </c>
      <c r="C612">
        <f>Data_inputs!B612*K_factor</f>
        <v>1536.6498302638879</v>
      </c>
      <c r="D612">
        <f>Data_inputs!C612*K_factor</f>
        <v>1091.4920813506042</v>
      </c>
      <c r="E612">
        <f t="shared" si="18"/>
        <v>445.15774891328374</v>
      </c>
      <c r="F612">
        <f>Data_inputs!G612-Data_inputs!H612</f>
        <v>152.79760436416518</v>
      </c>
      <c r="G612">
        <f t="shared" si="19"/>
        <v>325.35140648356406</v>
      </c>
    </row>
    <row r="613" spans="1:7" x14ac:dyDescent="0.3">
      <c r="A613">
        <f>Data_inputs!A613</f>
        <v>610</v>
      </c>
      <c r="B613">
        <f>Data_inputs!B613-Data_inputs!C613</f>
        <v>193.47439018855829</v>
      </c>
      <c r="C613">
        <f>Data_inputs!B613*K_factor</f>
        <v>1288.4734524921221</v>
      </c>
      <c r="D613">
        <f>Data_inputs!C613*K_factor</f>
        <v>876.50910770845508</v>
      </c>
      <c r="E613">
        <f t="shared" si="18"/>
        <v>411.964344783667</v>
      </c>
      <c r="F613">
        <f>Data_inputs!G613-Data_inputs!H613</f>
        <v>155.45050637620511</v>
      </c>
      <c r="G613">
        <f t="shared" si="19"/>
        <v>331.00022149262116</v>
      </c>
    </row>
    <row r="614" spans="1:7" x14ac:dyDescent="0.3">
      <c r="A614">
        <f>Data_inputs!A614</f>
        <v>611</v>
      </c>
      <c r="B614">
        <f>Data_inputs!B614-Data_inputs!C614</f>
        <v>1070.7759010382424</v>
      </c>
      <c r="C614">
        <f>Data_inputs!B614*K_factor</f>
        <v>4241.378561172899</v>
      </c>
      <c r="D614">
        <f>Data_inputs!C614*K_factor</f>
        <v>1961.3791666719139</v>
      </c>
      <c r="E614">
        <f t="shared" si="18"/>
        <v>2279.9993945009851</v>
      </c>
      <c r="F614">
        <f>Data_inputs!G614-Data_inputs!H614</f>
        <v>90.830419948663121</v>
      </c>
      <c r="G614">
        <f t="shared" si="19"/>
        <v>193.40489665897502</v>
      </c>
    </row>
    <row r="615" spans="1:7" x14ac:dyDescent="0.3">
      <c r="A615">
        <f>Data_inputs!A615</f>
        <v>612</v>
      </c>
      <c r="B615">
        <f>Data_inputs!B615-Data_inputs!C615</f>
        <v>995.43832834050681</v>
      </c>
      <c r="C615">
        <f>Data_inputs!B615*K_factor</f>
        <v>4480.3379882512536</v>
      </c>
      <c r="D615">
        <f>Data_inputs!C615*K_factor</f>
        <v>2360.754624749341</v>
      </c>
      <c r="E615">
        <f t="shared" si="18"/>
        <v>2119.5833635019126</v>
      </c>
      <c r="F615">
        <f>Data_inputs!G615-Data_inputs!H615</f>
        <v>477.77070930251193</v>
      </c>
      <c r="G615">
        <f t="shared" si="19"/>
        <v>1017.3155063200559</v>
      </c>
    </row>
    <row r="616" spans="1:7" x14ac:dyDescent="0.3">
      <c r="A616">
        <f>Data_inputs!A616</f>
        <v>613</v>
      </c>
      <c r="B616">
        <f>Data_inputs!B616-Data_inputs!C616</f>
        <v>495.99595048591573</v>
      </c>
      <c r="C616">
        <f>Data_inputs!B616*K_factor</f>
        <v>2195.813017873792</v>
      </c>
      <c r="D616">
        <f>Data_inputs!C616*K_factor</f>
        <v>1139.6905690156159</v>
      </c>
      <c r="E616">
        <f t="shared" si="18"/>
        <v>1056.1224488581761</v>
      </c>
      <c r="F616">
        <f>Data_inputs!G616-Data_inputs!H616</f>
        <v>302.9934000831613</v>
      </c>
      <c r="G616">
        <f t="shared" si="19"/>
        <v>645.16279088609224</v>
      </c>
    </row>
    <row r="617" spans="1:7" x14ac:dyDescent="0.3">
      <c r="A617">
        <f>Data_inputs!A617</f>
        <v>614</v>
      </c>
      <c r="B617">
        <f>Data_inputs!B617-Data_inputs!C617</f>
        <v>332.11507200764834</v>
      </c>
      <c r="C617">
        <f>Data_inputs!B617*K_factor</f>
        <v>2477.9932011261071</v>
      </c>
      <c r="D617">
        <f>Data_inputs!C617*K_factor</f>
        <v>1770.8217356982111</v>
      </c>
      <c r="E617">
        <f t="shared" si="18"/>
        <v>707.17146542789601</v>
      </c>
      <c r="F617">
        <f>Data_inputs!G617-Data_inputs!H617</f>
        <v>131.99958440007595</v>
      </c>
      <c r="G617">
        <f t="shared" si="19"/>
        <v>281.06625505368584</v>
      </c>
    </row>
    <row r="618" spans="1:7" x14ac:dyDescent="0.3">
      <c r="A618">
        <f>Data_inputs!A618</f>
        <v>615</v>
      </c>
      <c r="B618">
        <f>Data_inputs!B618-Data_inputs!C618</f>
        <v>780.86496460195804</v>
      </c>
      <c r="C618">
        <f>Data_inputs!B618*K_factor</f>
        <v>3004.1219813805087</v>
      </c>
      <c r="D618">
        <f>Data_inputs!C618*K_factor</f>
        <v>1341.4289335137989</v>
      </c>
      <c r="E618">
        <f t="shared" si="18"/>
        <v>1662.6930478667098</v>
      </c>
      <c r="F618">
        <f>Data_inputs!G618-Data_inputs!H618</f>
        <v>535.11854111076809</v>
      </c>
      <c r="G618">
        <f t="shared" si="19"/>
        <v>1139.4260447361596</v>
      </c>
    </row>
    <row r="619" spans="1:7" x14ac:dyDescent="0.3">
      <c r="A619">
        <f>Data_inputs!A619</f>
        <v>616</v>
      </c>
      <c r="B619">
        <f>Data_inputs!B619-Data_inputs!C619</f>
        <v>263.32810177592546</v>
      </c>
      <c r="C619">
        <f>Data_inputs!B619*K_factor</f>
        <v>2225.3350776303109</v>
      </c>
      <c r="D619">
        <f>Data_inputs!C619*K_factor</f>
        <v>1664.6314681990025</v>
      </c>
      <c r="E619">
        <f t="shared" si="18"/>
        <v>560.70360943130845</v>
      </c>
      <c r="F619">
        <f>Data_inputs!G619-Data_inputs!H619</f>
        <v>391.44996986314277</v>
      </c>
      <c r="G619">
        <f t="shared" si="19"/>
        <v>833.51305665359666</v>
      </c>
    </row>
    <row r="620" spans="1:7" x14ac:dyDescent="0.3">
      <c r="A620">
        <f>Data_inputs!A620</f>
        <v>617</v>
      </c>
      <c r="B620">
        <f>Data_inputs!B620-Data_inputs!C620</f>
        <v>414.84766652064866</v>
      </c>
      <c r="C620">
        <f>Data_inputs!B620*K_factor</f>
        <v>2094.5090227112728</v>
      </c>
      <c r="D620">
        <f>Data_inputs!C620*K_factor</f>
        <v>1211.1753321041986</v>
      </c>
      <c r="E620">
        <f t="shared" si="18"/>
        <v>883.33369060707423</v>
      </c>
      <c r="F620">
        <f>Data_inputs!G620-Data_inputs!H620</f>
        <v>295.48281619453701</v>
      </c>
      <c r="G620">
        <f t="shared" si="19"/>
        <v>629.17053078590845</v>
      </c>
    </row>
    <row r="621" spans="1:7" x14ac:dyDescent="0.3">
      <c r="A621">
        <f>Data_inputs!A621</f>
        <v>618</v>
      </c>
      <c r="B621">
        <f>Data_inputs!B621-Data_inputs!C621</f>
        <v>258.61787021425494</v>
      </c>
      <c r="C621">
        <f>Data_inputs!B621*K_factor</f>
        <v>2404.5884932172685</v>
      </c>
      <c r="D621">
        <f>Data_inputs!C621*K_factor</f>
        <v>1853.914363435395</v>
      </c>
      <c r="E621">
        <f t="shared" si="18"/>
        <v>550.67412978187349</v>
      </c>
      <c r="F621">
        <f>Data_inputs!G621-Data_inputs!H621</f>
        <v>116.11815796937822</v>
      </c>
      <c r="G621">
        <f t="shared" si="19"/>
        <v>247.24998910047069</v>
      </c>
    </row>
    <row r="622" spans="1:7" x14ac:dyDescent="0.3">
      <c r="A622">
        <f>Data_inputs!A622</f>
        <v>619</v>
      </c>
      <c r="B622">
        <f>Data_inputs!B622-Data_inputs!C622</f>
        <v>1220.4733943576559</v>
      </c>
      <c r="C622">
        <f>Data_inputs!B622*K_factor</f>
        <v>4769.5948982587752</v>
      </c>
      <c r="D622">
        <f>Data_inputs!C622*K_factor</f>
        <v>2170.845152918143</v>
      </c>
      <c r="E622">
        <f t="shared" si="18"/>
        <v>2598.7497453406322</v>
      </c>
      <c r="F622">
        <f>Data_inputs!G622-Data_inputs!H622</f>
        <v>23.976334632272938</v>
      </c>
      <c r="G622">
        <f t="shared" si="19"/>
        <v>51.052725776635619</v>
      </c>
    </row>
    <row r="623" spans="1:7" x14ac:dyDescent="0.3">
      <c r="A623">
        <f>Data_inputs!A623</f>
        <v>620</v>
      </c>
      <c r="B623">
        <f>Data_inputs!B623-Data_inputs!C623</f>
        <v>750.74130663017513</v>
      </c>
      <c r="C623">
        <f>Data_inputs!B623*K_factor</f>
        <v>3895.877119159738</v>
      </c>
      <c r="D623">
        <f>Data_inputs!C623*K_factor</f>
        <v>2297.3262712334868</v>
      </c>
      <c r="E623">
        <f t="shared" si="18"/>
        <v>1598.5508479262512</v>
      </c>
      <c r="F623">
        <f>Data_inputs!G623-Data_inputs!H623</f>
        <v>168.36639296883709</v>
      </c>
      <c r="G623">
        <f t="shared" si="19"/>
        <v>358.50197380334356</v>
      </c>
    </row>
    <row r="624" spans="1:7" x14ac:dyDescent="0.3">
      <c r="A624">
        <f>Data_inputs!A624</f>
        <v>621</v>
      </c>
      <c r="B624">
        <f>Data_inputs!B624-Data_inputs!C624</f>
        <v>657.59442690034211</v>
      </c>
      <c r="C624">
        <f>Data_inputs!B624*K_factor</f>
        <v>2606.3256244679505</v>
      </c>
      <c r="D624">
        <f>Data_inputs!C624*K_factor</f>
        <v>1206.1121029400178</v>
      </c>
      <c r="E624">
        <f t="shared" si="18"/>
        <v>1400.2135215279327</v>
      </c>
      <c r="F624">
        <f>Data_inputs!G624-Data_inputs!H624</f>
        <v>419.06788412063611</v>
      </c>
      <c r="G624">
        <f t="shared" si="19"/>
        <v>892.31978523556165</v>
      </c>
    </row>
    <row r="625" spans="1:7" x14ac:dyDescent="0.3">
      <c r="A625">
        <f>Data_inputs!A625</f>
        <v>622</v>
      </c>
      <c r="B625">
        <f>Data_inputs!B625-Data_inputs!C625</f>
        <v>238.52640384423302</v>
      </c>
      <c r="C625">
        <f>Data_inputs!B625*K_factor</f>
        <v>1435.3213620527649</v>
      </c>
      <c r="D625">
        <f>Data_inputs!C625*K_factor</f>
        <v>927.4279215952123</v>
      </c>
      <c r="E625">
        <f t="shared" si="18"/>
        <v>507.89344045755263</v>
      </c>
      <c r="F625">
        <f>Data_inputs!G625-Data_inputs!H625</f>
        <v>159.91507840202712</v>
      </c>
      <c r="G625">
        <f t="shared" si="19"/>
        <v>340.50661914848013</v>
      </c>
    </row>
    <row r="626" spans="1:7" x14ac:dyDescent="0.3">
      <c r="A626">
        <f>Data_inputs!A626</f>
        <v>623</v>
      </c>
      <c r="B626">
        <f>Data_inputs!B626-Data_inputs!C626</f>
        <v>512.69964099626418</v>
      </c>
      <c r="C626">
        <f>Data_inputs!B626*K_factor</f>
        <v>2714.4265231881386</v>
      </c>
      <c r="D626">
        <f>Data_inputs!C626*K_factor</f>
        <v>1622.7369643374805</v>
      </c>
      <c r="E626">
        <f t="shared" si="18"/>
        <v>1091.6895588506582</v>
      </c>
      <c r="F626">
        <f>Data_inputs!G626-Data_inputs!H626</f>
        <v>389.85095795771099</v>
      </c>
      <c r="G626">
        <f t="shared" si="19"/>
        <v>830.10828617580637</v>
      </c>
    </row>
    <row r="627" spans="1:7" x14ac:dyDescent="0.3">
      <c r="A627">
        <f>Data_inputs!A627</f>
        <v>624</v>
      </c>
      <c r="B627">
        <f>Data_inputs!B627-Data_inputs!C627</f>
        <v>490.27871363905729</v>
      </c>
      <c r="C627">
        <f>Data_inputs!B627*K_factor</f>
        <v>2299.9445926440922</v>
      </c>
      <c r="D627">
        <f>Data_inputs!C627*K_factor</f>
        <v>1255.9958362797577</v>
      </c>
      <c r="E627">
        <f t="shared" si="18"/>
        <v>1043.9487563643345</v>
      </c>
      <c r="F627">
        <f>Data_inputs!G627-Data_inputs!H627</f>
        <v>362.74320112708597</v>
      </c>
      <c r="G627">
        <f t="shared" si="19"/>
        <v>772.38783402500883</v>
      </c>
    </row>
    <row r="628" spans="1:7" x14ac:dyDescent="0.3">
      <c r="A628">
        <f>Data_inputs!A628</f>
        <v>625</v>
      </c>
      <c r="B628">
        <f>Data_inputs!B628-Data_inputs!C628</f>
        <v>433.12497460255929</v>
      </c>
      <c r="C628">
        <f>Data_inputs!B628*K_factor</f>
        <v>2128.8169351561091</v>
      </c>
      <c r="D628">
        <f>Data_inputs!C628*K_factor</f>
        <v>1206.5654361453737</v>
      </c>
      <c r="E628">
        <f t="shared" si="18"/>
        <v>922.25149901073542</v>
      </c>
      <c r="F628">
        <f>Data_inputs!G628-Data_inputs!H628</f>
        <v>287.18567937404691</v>
      </c>
      <c r="G628">
        <f t="shared" si="19"/>
        <v>611.50346626898522</v>
      </c>
    </row>
    <row r="629" spans="1:7" x14ac:dyDescent="0.3">
      <c r="A629">
        <f>Data_inputs!A629</f>
        <v>626</v>
      </c>
      <c r="B629">
        <f>Data_inputs!B629-Data_inputs!C629</f>
        <v>519.28148940935159</v>
      </c>
      <c r="C629">
        <f>Data_inputs!B629*K_factor</f>
        <v>3043.9086217872332</v>
      </c>
      <c r="D629">
        <f>Data_inputs!C629*K_factor</f>
        <v>1938.2043560478733</v>
      </c>
      <c r="E629">
        <f t="shared" si="18"/>
        <v>1105.7042657393599</v>
      </c>
      <c r="F629">
        <f>Data_inputs!G629-Data_inputs!H629</f>
        <v>420.67160506399114</v>
      </c>
      <c r="G629">
        <f t="shared" si="19"/>
        <v>895.73458265139129</v>
      </c>
    </row>
    <row r="630" spans="1:7" x14ac:dyDescent="0.3">
      <c r="A630">
        <f>Data_inputs!A630</f>
        <v>627</v>
      </c>
      <c r="B630">
        <f>Data_inputs!B630-Data_inputs!C630</f>
        <v>260.0107002804167</v>
      </c>
      <c r="C630">
        <f>Data_inputs!B630*K_factor</f>
        <v>1764.0648169760041</v>
      </c>
      <c r="D630">
        <f>Data_inputs!C630*K_factor</f>
        <v>1210.4249389881684</v>
      </c>
      <c r="E630">
        <f t="shared" si="18"/>
        <v>553.63987798783569</v>
      </c>
      <c r="F630">
        <f>Data_inputs!G630-Data_inputs!H630</f>
        <v>273.0062056250249</v>
      </c>
      <c r="G630">
        <f t="shared" si="19"/>
        <v>581.31116222967512</v>
      </c>
    </row>
    <row r="631" spans="1:7" x14ac:dyDescent="0.3">
      <c r="A631">
        <f>Data_inputs!A631</f>
        <v>628</v>
      </c>
      <c r="B631">
        <f>Data_inputs!B631-Data_inputs!C631</f>
        <v>448.13787288712217</v>
      </c>
      <c r="C631">
        <f>Data_inputs!B631*K_factor</f>
        <v>2576.9705390612444</v>
      </c>
      <c r="D631">
        <f>Data_inputs!C631*K_factor</f>
        <v>1622.7521280520984</v>
      </c>
      <c r="E631">
        <f t="shared" si="18"/>
        <v>954.21841100914594</v>
      </c>
      <c r="F631">
        <f>Data_inputs!G631-Data_inputs!H631</f>
        <v>482.61123553302787</v>
      </c>
      <c r="G631">
        <f t="shared" si="19"/>
        <v>1027.6224219537953</v>
      </c>
    </row>
    <row r="632" spans="1:7" x14ac:dyDescent="0.3">
      <c r="A632">
        <f>Data_inputs!A632</f>
        <v>629</v>
      </c>
      <c r="B632">
        <f>Data_inputs!B632-Data_inputs!C632</f>
        <v>923.55242778627292</v>
      </c>
      <c r="C632">
        <f>Data_inputs!B632*K_factor</f>
        <v>3758.7991915700704</v>
      </c>
      <c r="D632">
        <f>Data_inputs!C632*K_factor</f>
        <v>1792.282225600911</v>
      </c>
      <c r="E632">
        <f t="shared" si="18"/>
        <v>1966.5169659691594</v>
      </c>
      <c r="F632">
        <f>Data_inputs!G632-Data_inputs!H632</f>
        <v>78.653484373571018</v>
      </c>
      <c r="G632">
        <f t="shared" si="19"/>
        <v>167.47659017470727</v>
      </c>
    </row>
    <row r="633" spans="1:7" x14ac:dyDescent="0.3">
      <c r="A633">
        <f>Data_inputs!A633</f>
        <v>630</v>
      </c>
      <c r="B633">
        <f>Data_inputs!B633-Data_inputs!C633</f>
        <v>418.60440223917271</v>
      </c>
      <c r="C633">
        <f>Data_inputs!B633*K_factor</f>
        <v>2335.884490232103</v>
      </c>
      <c r="D633">
        <f>Data_inputs!C633*K_factor</f>
        <v>1444.5515953515389</v>
      </c>
      <c r="E633">
        <f t="shared" si="18"/>
        <v>891.33289488056403</v>
      </c>
      <c r="F633">
        <f>Data_inputs!G633-Data_inputs!H633</f>
        <v>234.13611454573629</v>
      </c>
      <c r="G633">
        <f t="shared" si="19"/>
        <v>498.54521275411724</v>
      </c>
    </row>
    <row r="634" spans="1:7" x14ac:dyDescent="0.3">
      <c r="A634">
        <f>Data_inputs!A634</f>
        <v>631</v>
      </c>
      <c r="B634">
        <f>Data_inputs!B634-Data_inputs!C634</f>
        <v>295.12049293087489</v>
      </c>
      <c r="C634">
        <f>Data_inputs!B634*K_factor</f>
        <v>1890.7347519735629</v>
      </c>
      <c r="D634">
        <f>Data_inputs!C634*K_factor</f>
        <v>1262.3357148502989</v>
      </c>
      <c r="E634">
        <f t="shared" si="18"/>
        <v>628.39903712326395</v>
      </c>
      <c r="F634">
        <f>Data_inputs!G634-Data_inputs!H634</f>
        <v>180.88330444872986</v>
      </c>
      <c r="G634">
        <f t="shared" si="19"/>
        <v>385.15418979691088</v>
      </c>
    </row>
    <row r="635" spans="1:7" x14ac:dyDescent="0.3">
      <c r="A635">
        <f>Data_inputs!A635</f>
        <v>632</v>
      </c>
      <c r="B635">
        <f>Data_inputs!B635-Data_inputs!C635</f>
        <v>230.88387912193741</v>
      </c>
      <c r="C635">
        <f>Data_inputs!B635*K_factor</f>
        <v>1834.2821637270756</v>
      </c>
      <c r="D635">
        <f>Data_inputs!C635*K_factor</f>
        <v>1342.6619245270385</v>
      </c>
      <c r="E635">
        <f t="shared" si="18"/>
        <v>491.62023920003708</v>
      </c>
      <c r="F635">
        <f>Data_inputs!G635-Data_inputs!H635</f>
        <v>278.54740857239403</v>
      </c>
      <c r="G635">
        <f t="shared" si="19"/>
        <v>593.11002635480031</v>
      </c>
    </row>
    <row r="636" spans="1:7" x14ac:dyDescent="0.3">
      <c r="A636">
        <f>Data_inputs!A636</f>
        <v>633</v>
      </c>
      <c r="B636">
        <f>Data_inputs!B636-Data_inputs!C636</f>
        <v>894.79072993331863</v>
      </c>
      <c r="C636">
        <f>Data_inputs!B636*K_factor</f>
        <v>3897.2184908246236</v>
      </c>
      <c r="D636">
        <f>Data_inputs!C636*K_factor</f>
        <v>1991.9437078612375</v>
      </c>
      <c r="E636">
        <f t="shared" si="18"/>
        <v>1905.2747829633861</v>
      </c>
      <c r="F636">
        <f>Data_inputs!G636-Data_inputs!H636</f>
        <v>80.521618066760084</v>
      </c>
      <c r="G636">
        <f t="shared" si="19"/>
        <v>171.45440073729841</v>
      </c>
    </row>
    <row r="637" spans="1:7" x14ac:dyDescent="0.3">
      <c r="A637">
        <f>Data_inputs!A637</f>
        <v>634</v>
      </c>
      <c r="B637">
        <f>Data_inputs!B637-Data_inputs!C637</f>
        <v>647.45552379162723</v>
      </c>
      <c r="C637">
        <f>Data_inputs!B637*K_factor</f>
        <v>2585.2850604960336</v>
      </c>
      <c r="D637">
        <f>Data_inputs!C637*K_factor</f>
        <v>1206.6602700241135</v>
      </c>
      <c r="E637">
        <f t="shared" si="18"/>
        <v>1378.6247904719201</v>
      </c>
      <c r="F637">
        <f>Data_inputs!G637-Data_inputs!H637</f>
        <v>293.26369087766807</v>
      </c>
      <c r="G637">
        <f t="shared" si="19"/>
        <v>624.44535498219727</v>
      </c>
    </row>
    <row r="638" spans="1:7" x14ac:dyDescent="0.3">
      <c r="A638">
        <f>Data_inputs!A638</f>
        <v>635</v>
      </c>
      <c r="B638">
        <f>Data_inputs!B638-Data_inputs!C638</f>
        <v>338.48027742001489</v>
      </c>
      <c r="C638">
        <f>Data_inputs!B638*K_factor</f>
        <v>1966.1024884528019</v>
      </c>
      <c r="D638">
        <f>Data_inputs!C638*K_factor</f>
        <v>1245.3776133226534</v>
      </c>
      <c r="E638">
        <f t="shared" si="18"/>
        <v>720.72487513014858</v>
      </c>
      <c r="F638">
        <f>Data_inputs!G638-Data_inputs!H638</f>
        <v>315.73565008076412</v>
      </c>
      <c r="G638">
        <f t="shared" si="19"/>
        <v>672.29481940013056</v>
      </c>
    </row>
    <row r="639" spans="1:7" x14ac:dyDescent="0.3">
      <c r="A639">
        <f>Data_inputs!A639</f>
        <v>636</v>
      </c>
      <c r="B639">
        <f>Data_inputs!B639-Data_inputs!C639</f>
        <v>1042.4429974084615</v>
      </c>
      <c r="C639">
        <f>Data_inputs!B639*K_factor</f>
        <v>4106.805042601326</v>
      </c>
      <c r="D639">
        <f>Data_inputs!C639*K_factor</f>
        <v>1887.1348010610291</v>
      </c>
      <c r="E639">
        <f t="shared" si="18"/>
        <v>2219.670241540297</v>
      </c>
      <c r="F639">
        <f>Data_inputs!G639-Data_inputs!H639</f>
        <v>447.21811863792482</v>
      </c>
      <c r="G639">
        <f t="shared" si="19"/>
        <v>952.25998149160978</v>
      </c>
    </row>
    <row r="640" spans="1:7" x14ac:dyDescent="0.3">
      <c r="A640">
        <f>Data_inputs!A640</f>
        <v>637</v>
      </c>
      <c r="B640">
        <f>Data_inputs!B640-Data_inputs!C640</f>
        <v>620.37766086780732</v>
      </c>
      <c r="C640">
        <f>Data_inputs!B640*K_factor</f>
        <v>3411.756188935386</v>
      </c>
      <c r="D640">
        <f>Data_inputs!C640*K_factor</f>
        <v>2090.7881976226818</v>
      </c>
      <c r="E640">
        <f t="shared" si="18"/>
        <v>1320.9679913127043</v>
      </c>
      <c r="F640">
        <f>Data_inputs!G640-Data_inputs!H640</f>
        <v>83.153923703600867</v>
      </c>
      <c r="G640">
        <f t="shared" si="19"/>
        <v>177.05935995642093</v>
      </c>
    </row>
    <row r="641" spans="1:7" x14ac:dyDescent="0.3">
      <c r="A641">
        <f>Data_inputs!A641</f>
        <v>638</v>
      </c>
      <c r="B641">
        <f>Data_inputs!B641-Data_inputs!C641</f>
        <v>1018.4119853142799</v>
      </c>
      <c r="C641">
        <f>Data_inputs!B641*K_factor</f>
        <v>3854.6233328192293</v>
      </c>
      <c r="D641">
        <f>Data_inputs!C641*K_factor</f>
        <v>1686.1222415846628</v>
      </c>
      <c r="E641">
        <f t="shared" si="18"/>
        <v>2168.5010912345665</v>
      </c>
      <c r="F641">
        <f>Data_inputs!G641-Data_inputs!H641</f>
        <v>135.8078541297341</v>
      </c>
      <c r="G641">
        <f t="shared" si="19"/>
        <v>289.17519051749105</v>
      </c>
    </row>
    <row r="642" spans="1:7" x14ac:dyDescent="0.3">
      <c r="A642">
        <f>Data_inputs!A642</f>
        <v>639</v>
      </c>
      <c r="B642">
        <f>Data_inputs!B642-Data_inputs!C642</f>
        <v>375.63929092617121</v>
      </c>
      <c r="C642">
        <f>Data_inputs!B642*K_factor</f>
        <v>1776.1765590581067</v>
      </c>
      <c r="D642">
        <f>Data_inputs!C642*K_factor</f>
        <v>976.32912596588426</v>
      </c>
      <c r="E642">
        <f t="shared" si="18"/>
        <v>799.84743309222245</v>
      </c>
      <c r="F642">
        <f>Data_inputs!G642-Data_inputs!H642</f>
        <v>262.07241345494504</v>
      </c>
      <c r="G642">
        <f t="shared" si="19"/>
        <v>558.0298766654314</v>
      </c>
    </row>
    <row r="643" spans="1:7" x14ac:dyDescent="0.3">
      <c r="A643">
        <f>Data_inputs!A643</f>
        <v>640</v>
      </c>
      <c r="B643">
        <f>Data_inputs!B643-Data_inputs!C643</f>
        <v>716.20449111576954</v>
      </c>
      <c r="C643">
        <f>Data_inputs!B643*K_factor</f>
        <v>3361.743189179308</v>
      </c>
      <c r="D643">
        <f>Data_inputs!C643*K_factor</f>
        <v>1836.7314621694741</v>
      </c>
      <c r="E643">
        <f t="shared" si="18"/>
        <v>1525.011727009834</v>
      </c>
      <c r="F643">
        <f>Data_inputs!G643-Data_inputs!H643</f>
        <v>592.65425014993207</v>
      </c>
      <c r="G643">
        <f t="shared" si="19"/>
        <v>1261.9366294852962</v>
      </c>
    </row>
    <row r="644" spans="1:7" x14ac:dyDescent="0.3">
      <c r="A644">
        <f>Data_inputs!A644</f>
        <v>641</v>
      </c>
      <c r="B644">
        <f>Data_inputs!B644-Data_inputs!C644</f>
        <v>447.17846997928473</v>
      </c>
      <c r="C644">
        <f>Data_inputs!B644*K_factor</f>
        <v>2343.3295260351861</v>
      </c>
      <c r="D644">
        <f>Data_inputs!C644*K_factor</f>
        <v>1391.1539682942459</v>
      </c>
      <c r="E644">
        <f t="shared" ref="E644:E707" si="20">C644-D644</f>
        <v>952.17555774094012</v>
      </c>
      <c r="F644">
        <f>Data_inputs!G644-Data_inputs!H644</f>
        <v>307.41939955973589</v>
      </c>
      <c r="G644">
        <f t="shared" ref="G644:G707" si="21">F644*K_factor</f>
        <v>654.58705614726136</v>
      </c>
    </row>
    <row r="645" spans="1:7" x14ac:dyDescent="0.3">
      <c r="A645">
        <f>Data_inputs!A645</f>
        <v>642</v>
      </c>
      <c r="B645">
        <f>Data_inputs!B645-Data_inputs!C645</f>
        <v>183.77202371047474</v>
      </c>
      <c r="C645">
        <f>Data_inputs!B645*K_factor</f>
        <v>1227.4565988073953</v>
      </c>
      <c r="D645">
        <f>Data_inputs!C645*K_factor</f>
        <v>836.15146915343735</v>
      </c>
      <c r="E645">
        <f t="shared" si="20"/>
        <v>391.30512965395792</v>
      </c>
      <c r="F645">
        <f>Data_inputs!G645-Data_inputs!H645</f>
        <v>79.444842101890345</v>
      </c>
      <c r="G645">
        <f t="shared" si="21"/>
        <v>169.16162542779082</v>
      </c>
    </row>
    <row r="646" spans="1:7" x14ac:dyDescent="0.3">
      <c r="A646">
        <f>Data_inputs!A646</f>
        <v>643</v>
      </c>
      <c r="B646">
        <f>Data_inputs!B646-Data_inputs!C646</f>
        <v>538.95556870262919</v>
      </c>
      <c r="C646">
        <f>Data_inputs!B646*K_factor</f>
        <v>2895.8575812920876</v>
      </c>
      <c r="D646">
        <f>Data_inputs!C646*K_factor</f>
        <v>1748.2613670763531</v>
      </c>
      <c r="E646">
        <f t="shared" si="20"/>
        <v>1147.5962142157346</v>
      </c>
      <c r="F646">
        <f>Data_inputs!G646-Data_inputs!H646</f>
        <v>352.12134352659405</v>
      </c>
      <c r="G646">
        <f t="shared" si="21"/>
        <v>749.77074965271834</v>
      </c>
    </row>
    <row r="647" spans="1:7" x14ac:dyDescent="0.3">
      <c r="A647">
        <f>Data_inputs!A647</f>
        <v>644</v>
      </c>
      <c r="B647">
        <f>Data_inputs!B647-Data_inputs!C647</f>
        <v>-2044.0155993188905</v>
      </c>
      <c r="C647">
        <f>Data_inputs!B647*K_factor</f>
        <v>6661.2090059652091</v>
      </c>
      <c r="D647">
        <f>Data_inputs!C647*K_factor</f>
        <v>11013.524298342336</v>
      </c>
      <c r="E647">
        <f t="shared" si="20"/>
        <v>-4352.3152923771268</v>
      </c>
      <c r="F647">
        <f>Data_inputs!G647-Data_inputs!H647</f>
        <v>-72.281590875769325</v>
      </c>
      <c r="G647">
        <f t="shared" si="21"/>
        <v>-153.90893955544502</v>
      </c>
    </row>
    <row r="648" spans="1:7" x14ac:dyDescent="0.3">
      <c r="A648">
        <f>Data_inputs!A648</f>
        <v>645</v>
      </c>
      <c r="B648">
        <f>Data_inputs!B648-Data_inputs!C648</f>
        <v>861.19335860596016</v>
      </c>
      <c r="C648">
        <f>Data_inputs!B648*K_factor</f>
        <v>3726.6193718020577</v>
      </c>
      <c r="D648">
        <f>Data_inputs!C648*K_factor</f>
        <v>1892.8833545215073</v>
      </c>
      <c r="E648">
        <f t="shared" si="20"/>
        <v>1833.7360172805504</v>
      </c>
      <c r="F648">
        <f>Data_inputs!G648-Data_inputs!H648</f>
        <v>757.89787669397219</v>
      </c>
      <c r="G648">
        <f t="shared" si="21"/>
        <v>1613.7893076229439</v>
      </c>
    </row>
    <row r="649" spans="1:7" x14ac:dyDescent="0.3">
      <c r="A649">
        <f>Data_inputs!A649</f>
        <v>646</v>
      </c>
      <c r="B649">
        <f>Data_inputs!B649-Data_inputs!C649</f>
        <v>1165.5297610932416</v>
      </c>
      <c r="C649">
        <f>Data_inputs!B649*K_factor</f>
        <v>4214.6178766400326</v>
      </c>
      <c r="D649">
        <f>Data_inputs!C649*K_factor</f>
        <v>1732.8594181345672</v>
      </c>
      <c r="E649">
        <f t="shared" si="20"/>
        <v>2481.7584585054656</v>
      </c>
      <c r="F649">
        <f>Data_inputs!G649-Data_inputs!H649</f>
        <v>193.05861853958504</v>
      </c>
      <c r="G649">
        <f t="shared" si="21"/>
        <v>411.07904366044374</v>
      </c>
    </row>
    <row r="650" spans="1:7" x14ac:dyDescent="0.3">
      <c r="A650">
        <f>Data_inputs!A650</f>
        <v>647</v>
      </c>
      <c r="B650">
        <f>Data_inputs!B650-Data_inputs!C650</f>
        <v>367.06639378944215</v>
      </c>
      <c r="C650">
        <f>Data_inputs!B650*K_factor</f>
        <v>1979.7667907574723</v>
      </c>
      <c r="D650">
        <f>Data_inputs!C650*K_factor</f>
        <v>1198.173597662535</v>
      </c>
      <c r="E650">
        <f t="shared" si="20"/>
        <v>781.59319309493731</v>
      </c>
      <c r="F650">
        <f>Data_inputs!G650-Data_inputs!H650</f>
        <v>279.68744877991094</v>
      </c>
      <c r="G650">
        <f t="shared" si="21"/>
        <v>595.53750999570502</v>
      </c>
    </row>
    <row r="651" spans="1:7" x14ac:dyDescent="0.3">
      <c r="A651">
        <f>Data_inputs!A651</f>
        <v>648</v>
      </c>
      <c r="B651">
        <f>Data_inputs!B651-Data_inputs!C651</f>
        <v>224.2897041071684</v>
      </c>
      <c r="C651">
        <f>Data_inputs!B651*K_factor</f>
        <v>1673.6662718129337</v>
      </c>
      <c r="D651">
        <f>Data_inputs!C651*K_factor</f>
        <v>1196.0869864916017</v>
      </c>
      <c r="E651">
        <f t="shared" si="20"/>
        <v>477.57928532133201</v>
      </c>
      <c r="F651">
        <f>Data_inputs!G651-Data_inputs!H651</f>
        <v>172.20672147050095</v>
      </c>
      <c r="G651">
        <f t="shared" si="21"/>
        <v>366.67917189865796</v>
      </c>
    </row>
    <row r="652" spans="1:7" x14ac:dyDescent="0.3">
      <c r="A652">
        <f>Data_inputs!A652</f>
        <v>649</v>
      </c>
      <c r="B652">
        <f>Data_inputs!B652-Data_inputs!C652</f>
        <v>262.88847614945541</v>
      </c>
      <c r="C652">
        <f>Data_inputs!B652*K_factor</f>
        <v>1411.5268474007059</v>
      </c>
      <c r="D652">
        <f>Data_inputs!C652*K_factor</f>
        <v>851.75933128377551</v>
      </c>
      <c r="E652">
        <f t="shared" si="20"/>
        <v>559.76751611693044</v>
      </c>
      <c r="F652">
        <f>Data_inputs!G652-Data_inputs!H652</f>
        <v>188.29012362363096</v>
      </c>
      <c r="G652">
        <f t="shared" si="21"/>
        <v>400.92550405377676</v>
      </c>
    </row>
    <row r="653" spans="1:7" x14ac:dyDescent="0.3">
      <c r="A653">
        <f>Data_inputs!A653</f>
        <v>650</v>
      </c>
      <c r="B653">
        <f>Data_inputs!B653-Data_inputs!C653</f>
        <v>1028.5286462018232</v>
      </c>
      <c r="C653">
        <f>Data_inputs!B653*K_factor</f>
        <v>3954.7083307674779</v>
      </c>
      <c r="D653">
        <f>Data_inputs!C653*K_factor</f>
        <v>1764.665868760927</v>
      </c>
      <c r="E653">
        <f t="shared" si="20"/>
        <v>2190.042462006551</v>
      </c>
      <c r="F653">
        <f>Data_inputs!G653-Data_inputs!H653</f>
        <v>65.984204482634141</v>
      </c>
      <c r="G653">
        <f t="shared" si="21"/>
        <v>140.49993665449705</v>
      </c>
    </row>
    <row r="654" spans="1:7" x14ac:dyDescent="0.3">
      <c r="A654">
        <f>Data_inputs!A654</f>
        <v>651</v>
      </c>
      <c r="B654">
        <f>Data_inputs!B654-Data_inputs!C654</f>
        <v>277.34683029779603</v>
      </c>
      <c r="C654">
        <f>Data_inputs!B654*K_factor</f>
        <v>2302.0822855905253</v>
      </c>
      <c r="D654">
        <f>Data_inputs!C654*K_factor</f>
        <v>1711.5286463718946</v>
      </c>
      <c r="E654">
        <f t="shared" si="20"/>
        <v>590.55363921863068</v>
      </c>
      <c r="F654">
        <f>Data_inputs!G654-Data_inputs!H654</f>
        <v>352.24127805858006</v>
      </c>
      <c r="G654">
        <f t="shared" si="21"/>
        <v>750.02612583371263</v>
      </c>
    </row>
    <row r="655" spans="1:7" x14ac:dyDescent="0.3">
      <c r="A655">
        <f>Data_inputs!A655</f>
        <v>652</v>
      </c>
      <c r="B655">
        <f>Data_inputs!B655-Data_inputs!C655</f>
        <v>350.75383565242646</v>
      </c>
      <c r="C655">
        <f>Data_inputs!B655*K_factor</f>
        <v>2165.6292159583268</v>
      </c>
      <c r="D655">
        <f>Data_inputs!C655*K_factor</f>
        <v>1418.7702960564034</v>
      </c>
      <c r="E655">
        <f t="shared" si="20"/>
        <v>746.8589199019234</v>
      </c>
      <c r="F655">
        <f>Data_inputs!G655-Data_inputs!H655</f>
        <v>225.4634078218869</v>
      </c>
      <c r="G655">
        <f t="shared" si="21"/>
        <v>480.07844855080612</v>
      </c>
    </row>
    <row r="656" spans="1:7" x14ac:dyDescent="0.3">
      <c r="A656">
        <f>Data_inputs!A656</f>
        <v>653</v>
      </c>
      <c r="B656">
        <f>Data_inputs!B656-Data_inputs!C656</f>
        <v>316.71497145057185</v>
      </c>
      <c r="C656">
        <f>Data_inputs!B656*K_factor</f>
        <v>1806.0006865005764</v>
      </c>
      <c r="D656">
        <f>Data_inputs!C656*K_factor</f>
        <v>1131.6206015205814</v>
      </c>
      <c r="E656">
        <f t="shared" si="20"/>
        <v>674.38008497999499</v>
      </c>
      <c r="F656">
        <f>Data_inputs!G656-Data_inputs!H656</f>
        <v>259.11441511774797</v>
      </c>
      <c r="G656">
        <f t="shared" si="21"/>
        <v>551.73142111445668</v>
      </c>
    </row>
    <row r="657" spans="1:7" x14ac:dyDescent="0.3">
      <c r="A657">
        <f>Data_inputs!A657</f>
        <v>654</v>
      </c>
      <c r="B657">
        <f>Data_inputs!B657-Data_inputs!C657</f>
        <v>204.50051268823597</v>
      </c>
      <c r="C657">
        <f>Data_inputs!B657*K_factor</f>
        <v>1886.2605070647467</v>
      </c>
      <c r="D657">
        <f>Data_inputs!C657*K_factor</f>
        <v>1450.818278067788</v>
      </c>
      <c r="E657">
        <f t="shared" si="20"/>
        <v>435.44222899695865</v>
      </c>
      <c r="F657">
        <f>Data_inputs!G657-Data_inputs!H657</f>
        <v>354.89001367117908</v>
      </c>
      <c r="G657">
        <f t="shared" si="21"/>
        <v>755.66606934295976</v>
      </c>
    </row>
    <row r="658" spans="1:7" x14ac:dyDescent="0.3">
      <c r="A658">
        <f>Data_inputs!A658</f>
        <v>655</v>
      </c>
      <c r="B658">
        <f>Data_inputs!B658-Data_inputs!C658</f>
        <v>397.71993908530806</v>
      </c>
      <c r="C658">
        <f>Data_inputs!B658*K_factor</f>
        <v>2973.2613816925068</v>
      </c>
      <c r="D658">
        <f>Data_inputs!C658*K_factor</f>
        <v>2126.3977014245615</v>
      </c>
      <c r="E658">
        <f t="shared" si="20"/>
        <v>846.86368026794526</v>
      </c>
      <c r="F658">
        <f>Data_inputs!G658-Data_inputs!H658</f>
        <v>387.46599463263283</v>
      </c>
      <c r="G658">
        <f t="shared" si="21"/>
        <v>825.02999207914911</v>
      </c>
    </row>
    <row r="659" spans="1:7" x14ac:dyDescent="0.3">
      <c r="A659">
        <f>Data_inputs!A659</f>
        <v>656</v>
      </c>
      <c r="B659">
        <f>Data_inputs!B659-Data_inputs!C659</f>
        <v>190.08668426745027</v>
      </c>
      <c r="C659">
        <f>Data_inputs!B659*K_factor</f>
        <v>1168.678589779837</v>
      </c>
      <c r="D659">
        <f>Data_inputs!C659*K_factor</f>
        <v>763.92767540806517</v>
      </c>
      <c r="E659">
        <f t="shared" si="20"/>
        <v>404.75091437177184</v>
      </c>
      <c r="F659">
        <f>Data_inputs!G659-Data_inputs!H659</f>
        <v>94.836999681778252</v>
      </c>
      <c r="G659">
        <f t="shared" si="21"/>
        <v>201.93609292204462</v>
      </c>
    </row>
    <row r="660" spans="1:7" x14ac:dyDescent="0.3">
      <c r="A660">
        <f>Data_inputs!A660</f>
        <v>657</v>
      </c>
      <c r="B660">
        <f>Data_inputs!B660-Data_inputs!C660</f>
        <v>357.05471767008908</v>
      </c>
      <c r="C660">
        <f>Data_inputs!B660*K_factor</f>
        <v>2776.8985643956889</v>
      </c>
      <c r="D660">
        <f>Data_inputs!C660*K_factor</f>
        <v>2016.6231983716932</v>
      </c>
      <c r="E660">
        <f t="shared" si="20"/>
        <v>760.27536602399573</v>
      </c>
      <c r="F660">
        <f>Data_inputs!G660-Data_inputs!H660</f>
        <v>351.37599616119223</v>
      </c>
      <c r="G660">
        <f t="shared" si="21"/>
        <v>748.18368410505207</v>
      </c>
    </row>
    <row r="661" spans="1:7" x14ac:dyDescent="0.3">
      <c r="A661">
        <f>Data_inputs!A661</f>
        <v>658</v>
      </c>
      <c r="B661">
        <f>Data_inputs!B661-Data_inputs!C661</f>
        <v>324.76290204942637</v>
      </c>
      <c r="C661">
        <f>Data_inputs!B661*K_factor</f>
        <v>1684.3799592001337</v>
      </c>
      <c r="D661">
        <f>Data_inputs!C661*K_factor</f>
        <v>992.86344364247759</v>
      </c>
      <c r="E661">
        <f t="shared" si="20"/>
        <v>691.51651555765613</v>
      </c>
      <c r="F661">
        <f>Data_inputs!G661-Data_inputs!H661</f>
        <v>141.53589647082504</v>
      </c>
      <c r="G661">
        <f t="shared" si="21"/>
        <v>301.37189111254577</v>
      </c>
    </row>
    <row r="662" spans="1:7" x14ac:dyDescent="0.3">
      <c r="A662">
        <f>Data_inputs!A662</f>
        <v>659</v>
      </c>
      <c r="B662">
        <f>Data_inputs!B662-Data_inputs!C662</f>
        <v>512.6419437209064</v>
      </c>
      <c r="C662">
        <f>Data_inputs!B662*K_factor</f>
        <v>2110.9759102527028</v>
      </c>
      <c r="D662">
        <f>Data_inputs!C662*K_factor</f>
        <v>1019.409206009393</v>
      </c>
      <c r="E662">
        <f t="shared" si="20"/>
        <v>1091.5667042433097</v>
      </c>
      <c r="F662">
        <f>Data_inputs!G662-Data_inputs!H662</f>
        <v>394.44062614030304</v>
      </c>
      <c r="G662">
        <f t="shared" si="21"/>
        <v>839.88105064232434</v>
      </c>
    </row>
    <row r="663" spans="1:7" x14ac:dyDescent="0.3">
      <c r="A663">
        <f>Data_inputs!A663</f>
        <v>660</v>
      </c>
      <c r="B663">
        <f>Data_inputs!B663-Data_inputs!C663</f>
        <v>1109.4297591324321</v>
      </c>
      <c r="C663">
        <f>Data_inputs!B663*K_factor</f>
        <v>4387.131857261943</v>
      </c>
      <c r="D663">
        <f>Data_inputs!C663*K_factor</f>
        <v>2024.8269374270137</v>
      </c>
      <c r="E663">
        <f t="shared" si="20"/>
        <v>2362.304919834929</v>
      </c>
      <c r="F663">
        <f>Data_inputs!G663-Data_inputs!H663</f>
        <v>61.586434013865073</v>
      </c>
      <c r="G663">
        <f t="shared" si="21"/>
        <v>131.13577932127211</v>
      </c>
    </row>
    <row r="664" spans="1:7" x14ac:dyDescent="0.3">
      <c r="A664">
        <f>Data_inputs!A664</f>
        <v>661</v>
      </c>
      <c r="B664">
        <f>Data_inputs!B664-Data_inputs!C664</f>
        <v>241.5686740803252</v>
      </c>
      <c r="C664">
        <f>Data_inputs!B664*K_factor</f>
        <v>1977.5054792047761</v>
      </c>
      <c r="D664">
        <f>Data_inputs!C664*K_factor</f>
        <v>1463.1341433356131</v>
      </c>
      <c r="E664">
        <f t="shared" si="20"/>
        <v>514.37133586916298</v>
      </c>
      <c r="F664">
        <f>Data_inputs!G664-Data_inputs!H664</f>
        <v>145.08028356681416</v>
      </c>
      <c r="G664">
        <f t="shared" si="21"/>
        <v>308.91894220409222</v>
      </c>
    </row>
    <row r="665" spans="1:7" x14ac:dyDescent="0.3">
      <c r="A665">
        <f>Data_inputs!A665</f>
        <v>662</v>
      </c>
      <c r="B665">
        <f>Data_inputs!B665-Data_inputs!C665</f>
        <v>587.5544448495998</v>
      </c>
      <c r="C665">
        <f>Data_inputs!B665*K_factor</f>
        <v>2723.8461263144345</v>
      </c>
      <c r="D665">
        <f>Data_inputs!C665*K_factor</f>
        <v>1472.7684944826681</v>
      </c>
      <c r="E665">
        <f t="shared" si="20"/>
        <v>1251.0776318317664</v>
      </c>
      <c r="F665">
        <f>Data_inputs!G665-Data_inputs!H665</f>
        <v>386.28599820617001</v>
      </c>
      <c r="G665">
        <f t="shared" si="21"/>
        <v>822.51742980048755</v>
      </c>
    </row>
    <row r="666" spans="1:7" x14ac:dyDescent="0.3">
      <c r="A666">
        <f>Data_inputs!A666</f>
        <v>663</v>
      </c>
      <c r="B666">
        <f>Data_inputs!B666-Data_inputs!C666</f>
        <v>-33.08668709232802</v>
      </c>
      <c r="C666">
        <f>Data_inputs!B666*K_factor</f>
        <v>1430.8538313838769</v>
      </c>
      <c r="D666">
        <f>Data_inputs!C666*K_factor</f>
        <v>1501.3051989047613</v>
      </c>
      <c r="E666">
        <f t="shared" si="20"/>
        <v>-70.451367520884332</v>
      </c>
      <c r="F666">
        <f>Data_inputs!G666-Data_inputs!H666</f>
        <v>105.318351709235</v>
      </c>
      <c r="G666">
        <f t="shared" si="21"/>
        <v>224.25399926732348</v>
      </c>
    </row>
    <row r="667" spans="1:7" x14ac:dyDescent="0.3">
      <c r="A667">
        <f>Data_inputs!A667</f>
        <v>664</v>
      </c>
      <c r="B667">
        <f>Data_inputs!B667-Data_inputs!C667</f>
        <v>334.28362150049389</v>
      </c>
      <c r="C667">
        <f>Data_inputs!B667*K_factor</f>
        <v>1710.6677326867207</v>
      </c>
      <c r="D667">
        <f>Data_inputs!C667*K_factor</f>
        <v>998.87878238095345</v>
      </c>
      <c r="E667">
        <f t="shared" si="20"/>
        <v>711.78895030576723</v>
      </c>
      <c r="F667">
        <f>Data_inputs!G667-Data_inputs!H667</f>
        <v>197.78626745702991</v>
      </c>
      <c r="G667">
        <f t="shared" si="21"/>
        <v>421.14561002483055</v>
      </c>
    </row>
    <row r="668" spans="1:7" x14ac:dyDescent="0.3">
      <c r="A668">
        <f>Data_inputs!A668</f>
        <v>665</v>
      </c>
      <c r="B668">
        <f>Data_inputs!B668-Data_inputs!C668</f>
        <v>605.37828174572621</v>
      </c>
      <c r="C668">
        <f>Data_inputs!B668*K_factor</f>
        <v>2828.6017116236053</v>
      </c>
      <c r="D668">
        <f>Data_inputs!C668*K_factor</f>
        <v>1539.5718460037522</v>
      </c>
      <c r="E668">
        <f t="shared" si="20"/>
        <v>1289.0298656198531</v>
      </c>
      <c r="F668">
        <f>Data_inputs!G668-Data_inputs!H668</f>
        <v>705.92164530256377</v>
      </c>
      <c r="G668">
        <f t="shared" si="21"/>
        <v>1503.1164992547792</v>
      </c>
    </row>
    <row r="669" spans="1:7" x14ac:dyDescent="0.3">
      <c r="A669">
        <f>Data_inputs!A669</f>
        <v>666</v>
      </c>
      <c r="B669">
        <f>Data_inputs!B669-Data_inputs!C669</f>
        <v>355.25148135772861</v>
      </c>
      <c r="C669">
        <f>Data_inputs!B669*K_factor</f>
        <v>2477.7824508971589</v>
      </c>
      <c r="D669">
        <f>Data_inputs!C669*K_factor</f>
        <v>1721.3467096689192</v>
      </c>
      <c r="E669">
        <f t="shared" si="20"/>
        <v>756.43574122823975</v>
      </c>
      <c r="F669">
        <f>Data_inputs!G669-Data_inputs!H669</f>
        <v>307.86200289793896</v>
      </c>
      <c r="G669">
        <f t="shared" si="21"/>
        <v>655.52948989285528</v>
      </c>
    </row>
    <row r="670" spans="1:7" x14ac:dyDescent="0.3">
      <c r="A670">
        <f>Data_inputs!A670</f>
        <v>667</v>
      </c>
      <c r="B670">
        <f>Data_inputs!B670-Data_inputs!C670</f>
        <v>385.9687404445018</v>
      </c>
      <c r="C670">
        <f>Data_inputs!B670*K_factor</f>
        <v>2259.5184170630964</v>
      </c>
      <c r="D670">
        <f>Data_inputs!C670*K_factor</f>
        <v>1437.6765231089078</v>
      </c>
      <c r="E670">
        <f t="shared" si="20"/>
        <v>821.84189395418866</v>
      </c>
      <c r="F670">
        <f>Data_inputs!G670-Data_inputs!H670</f>
        <v>132.23822089410305</v>
      </c>
      <c r="G670">
        <f t="shared" si="21"/>
        <v>281.57438290878611</v>
      </c>
    </row>
    <row r="671" spans="1:7" x14ac:dyDescent="0.3">
      <c r="A671">
        <f>Data_inputs!A671</f>
        <v>668</v>
      </c>
      <c r="B671">
        <f>Data_inputs!B671-Data_inputs!C671</f>
        <v>423.22638572512153</v>
      </c>
      <c r="C671">
        <f>Data_inputs!B671*K_factor</f>
        <v>2373.2765478886176</v>
      </c>
      <c r="D671">
        <f>Data_inputs!C671*K_factor</f>
        <v>1472.1020796787147</v>
      </c>
      <c r="E671">
        <f t="shared" si="20"/>
        <v>901.1744682099029</v>
      </c>
      <c r="F671">
        <f>Data_inputs!G671-Data_inputs!H671</f>
        <v>399.66077703484871</v>
      </c>
      <c r="G671">
        <f t="shared" si="21"/>
        <v>850.99629975021662</v>
      </c>
    </row>
    <row r="672" spans="1:7" x14ac:dyDescent="0.3">
      <c r="A672">
        <f>Data_inputs!A672</f>
        <v>669</v>
      </c>
      <c r="B672">
        <f>Data_inputs!B672-Data_inputs!C672</f>
        <v>1392.9940077476444</v>
      </c>
      <c r="C672">
        <f>Data_inputs!B672*K_factor</f>
        <v>4789.5840222150782</v>
      </c>
      <c r="D672">
        <f>Data_inputs!C672*K_factor</f>
        <v>1823.486736005515</v>
      </c>
      <c r="E672">
        <f t="shared" si="20"/>
        <v>2966.0972862095632</v>
      </c>
      <c r="F672">
        <f>Data_inputs!G672-Data_inputs!H672</f>
        <v>228.47922579179908</v>
      </c>
      <c r="G672">
        <f t="shared" si="21"/>
        <v>486.50001924422367</v>
      </c>
    </row>
    <row r="673" spans="1:7" x14ac:dyDescent="0.3">
      <c r="A673">
        <f>Data_inputs!A673</f>
        <v>670</v>
      </c>
      <c r="B673">
        <f>Data_inputs!B673-Data_inputs!C673</f>
        <v>907.52604871358676</v>
      </c>
      <c r="C673">
        <f>Data_inputs!B673*K_factor</f>
        <v>3766.1809587380903</v>
      </c>
      <c r="D673">
        <f>Data_inputs!C673*K_factor</f>
        <v>1833.788905877582</v>
      </c>
      <c r="E673">
        <f t="shared" si="20"/>
        <v>1932.3920528605083</v>
      </c>
      <c r="F673">
        <f>Data_inputs!G673-Data_inputs!H673</f>
        <v>113.33317236677908</v>
      </c>
      <c r="G673">
        <f t="shared" si="21"/>
        <v>241.319928962338</v>
      </c>
    </row>
    <row r="674" spans="1:7" x14ac:dyDescent="0.3">
      <c r="A674">
        <f>Data_inputs!A674</f>
        <v>671</v>
      </c>
      <c r="B674">
        <f>Data_inputs!B674-Data_inputs!C674</f>
        <v>887.35458965500106</v>
      </c>
      <c r="C674">
        <f>Data_inputs!B674*K_factor</f>
        <v>4146.6364830030652</v>
      </c>
      <c r="D674">
        <f>Data_inputs!C674*K_factor</f>
        <v>2257.195447619868</v>
      </c>
      <c r="E674">
        <f t="shared" si="20"/>
        <v>1889.4410353831972</v>
      </c>
      <c r="F674">
        <f>Data_inputs!G674-Data_inputs!H674</f>
        <v>-9.5599225479779761</v>
      </c>
      <c r="G674">
        <f t="shared" si="21"/>
        <v>-20.355909765742521</v>
      </c>
    </row>
    <row r="675" spans="1:7" x14ac:dyDescent="0.3">
      <c r="A675">
        <f>Data_inputs!A675</f>
        <v>672</v>
      </c>
      <c r="B675">
        <f>Data_inputs!B675-Data_inputs!C675</f>
        <v>602.00483922716228</v>
      </c>
      <c r="C675">
        <f>Data_inputs!B675*K_factor</f>
        <v>2992.3865623971897</v>
      </c>
      <c r="D675">
        <f>Data_inputs!C675*K_factor</f>
        <v>1710.5397561759016</v>
      </c>
      <c r="E675">
        <f t="shared" si="20"/>
        <v>1281.846806221288</v>
      </c>
      <c r="F675">
        <f>Data_inputs!G675-Data_inputs!H675</f>
        <v>496.68714228514182</v>
      </c>
      <c r="G675">
        <f t="shared" si="21"/>
        <v>1057.5942011475129</v>
      </c>
    </row>
    <row r="676" spans="1:7" x14ac:dyDescent="0.3">
      <c r="A676">
        <f>Data_inputs!A676</f>
        <v>673</v>
      </c>
      <c r="B676">
        <f>Data_inputs!B676-Data_inputs!C676</f>
        <v>366.76652642908186</v>
      </c>
      <c r="C676">
        <f>Data_inputs!B676*K_factor</f>
        <v>2383.5332729371098</v>
      </c>
      <c r="D676">
        <f>Data_inputs!C676*K_factor</f>
        <v>1602.5785863675708</v>
      </c>
      <c r="E676">
        <f t="shared" si="20"/>
        <v>780.95468656953904</v>
      </c>
      <c r="F676">
        <f>Data_inputs!G676-Data_inputs!H676</f>
        <v>504.03169109624878</v>
      </c>
      <c r="G676">
        <f t="shared" si="21"/>
        <v>1073.2329233357596</v>
      </c>
    </row>
    <row r="677" spans="1:7" x14ac:dyDescent="0.3">
      <c r="A677">
        <f>Data_inputs!A677</f>
        <v>674</v>
      </c>
      <c r="B677">
        <f>Data_inputs!B677-Data_inputs!C677</f>
        <v>708.31297568955233</v>
      </c>
      <c r="C677">
        <f>Data_inputs!B677*K_factor</f>
        <v>7993.2519598720846</v>
      </c>
      <c r="D677">
        <f>Data_inputs!C677*K_factor</f>
        <v>6485.0436091579113</v>
      </c>
      <c r="E677">
        <f t="shared" si="20"/>
        <v>1508.2083507141733</v>
      </c>
      <c r="F677">
        <f>Data_inputs!G677-Data_inputs!H677</f>
        <v>29.024597043903668</v>
      </c>
      <c r="G677">
        <f t="shared" si="21"/>
        <v>61.801973336876586</v>
      </c>
    </row>
    <row r="678" spans="1:7" x14ac:dyDescent="0.3">
      <c r="A678">
        <f>Data_inputs!A678</f>
        <v>675</v>
      </c>
      <c r="B678">
        <f>Data_inputs!B678-Data_inputs!C678</f>
        <v>290.0987094571571</v>
      </c>
      <c r="C678">
        <f>Data_inputs!B678*K_factor</f>
        <v>1554.8256430451925</v>
      </c>
      <c r="D678">
        <f>Data_inputs!C678*K_factor</f>
        <v>937.11947197194854</v>
      </c>
      <c r="E678">
        <f t="shared" si="20"/>
        <v>617.70617107324392</v>
      </c>
      <c r="F678">
        <f>Data_inputs!G678-Data_inputs!H678</f>
        <v>222.36376652025206</v>
      </c>
      <c r="G678">
        <f t="shared" si="21"/>
        <v>473.47839312926993</v>
      </c>
    </row>
    <row r="679" spans="1:7" x14ac:dyDescent="0.3">
      <c r="A679">
        <f>Data_inputs!A679</f>
        <v>676</v>
      </c>
      <c r="B679">
        <f>Data_inputs!B679-Data_inputs!C679</f>
        <v>-85.206980089949525</v>
      </c>
      <c r="C679">
        <f>Data_inputs!B679*K_factor</f>
        <v>2121.2988146025727</v>
      </c>
      <c r="D679">
        <f>Data_inputs!C679*K_factor</f>
        <v>2302.7297403676866</v>
      </c>
      <c r="E679">
        <f t="shared" si="20"/>
        <v>-181.4309257651139</v>
      </c>
      <c r="F679">
        <f>Data_inputs!G679-Data_inputs!H679</f>
        <v>424.67085859510235</v>
      </c>
      <c r="G679">
        <f t="shared" si="21"/>
        <v>904.25017925806515</v>
      </c>
    </row>
    <row r="680" spans="1:7" x14ac:dyDescent="0.3">
      <c r="A680">
        <f>Data_inputs!A680</f>
        <v>677</v>
      </c>
      <c r="B680">
        <f>Data_inputs!B680-Data_inputs!C680</f>
        <v>1034.9850261437991</v>
      </c>
      <c r="C680">
        <f>Data_inputs!B680*K_factor</f>
        <v>3894.9908250148751</v>
      </c>
      <c r="D680">
        <f>Data_inputs!C680*K_factor</f>
        <v>1691.2008156979116</v>
      </c>
      <c r="E680">
        <f t="shared" si="20"/>
        <v>2203.7900093169637</v>
      </c>
      <c r="F680">
        <f>Data_inputs!G680-Data_inputs!H680</f>
        <v>262.81833361051031</v>
      </c>
      <c r="G680">
        <f t="shared" si="21"/>
        <v>559.61816185319651</v>
      </c>
    </row>
    <row r="681" spans="1:7" x14ac:dyDescent="0.3">
      <c r="A681">
        <f>Data_inputs!A681</f>
        <v>678</v>
      </c>
      <c r="B681">
        <f>Data_inputs!B681-Data_inputs!C681</f>
        <v>345.29355611420885</v>
      </c>
      <c r="C681">
        <f>Data_inputs!B681*K_factor</f>
        <v>2500.915964267369</v>
      </c>
      <c r="D681">
        <f>Data_inputs!C681*K_factor</f>
        <v>1765.6835985574771</v>
      </c>
      <c r="E681">
        <f t="shared" si="20"/>
        <v>735.23236570989184</v>
      </c>
      <c r="F681">
        <f>Data_inputs!G681-Data_inputs!H681</f>
        <v>504.38806399831492</v>
      </c>
      <c r="G681">
        <f t="shared" si="21"/>
        <v>1073.9917469141942</v>
      </c>
    </row>
    <row r="682" spans="1:7" x14ac:dyDescent="0.3">
      <c r="A682">
        <f>Data_inputs!A682</f>
        <v>679</v>
      </c>
      <c r="B682">
        <f>Data_inputs!B682-Data_inputs!C682</f>
        <v>462.50745132771397</v>
      </c>
      <c r="C682">
        <f>Data_inputs!B682*K_factor</f>
        <v>2472.4588210117281</v>
      </c>
      <c r="D682">
        <f>Data_inputs!C682*K_factor</f>
        <v>1487.6433167060143</v>
      </c>
      <c r="E682">
        <f t="shared" si="20"/>
        <v>984.81550430571383</v>
      </c>
      <c r="F682">
        <f>Data_inputs!G682-Data_inputs!H682</f>
        <v>299.54055543971481</v>
      </c>
      <c r="G682">
        <f t="shared" si="21"/>
        <v>637.81066081972574</v>
      </c>
    </row>
    <row r="683" spans="1:7" x14ac:dyDescent="0.3">
      <c r="A683">
        <f>Data_inputs!A683</f>
        <v>680</v>
      </c>
      <c r="B683">
        <f>Data_inputs!B683-Data_inputs!C683</f>
        <v>626.32973573026959</v>
      </c>
      <c r="C683">
        <f>Data_inputs!B683*K_factor</f>
        <v>2762.7491468580538</v>
      </c>
      <c r="D683">
        <f>Data_inputs!C683*K_factor</f>
        <v>1429.1074232832766</v>
      </c>
      <c r="E683">
        <f t="shared" si="20"/>
        <v>1333.6417235747772</v>
      </c>
      <c r="F683">
        <f>Data_inputs!G683-Data_inputs!H683</f>
        <v>500.44564249146197</v>
      </c>
      <c r="G683">
        <f t="shared" si="21"/>
        <v>1065.5971625387178</v>
      </c>
    </row>
    <row r="684" spans="1:7" x14ac:dyDescent="0.3">
      <c r="A684">
        <f>Data_inputs!A684</f>
        <v>681</v>
      </c>
      <c r="B684">
        <f>Data_inputs!B684-Data_inputs!C684</f>
        <v>152.80958464952738</v>
      </c>
      <c r="C684">
        <f>Data_inputs!B684*K_factor</f>
        <v>1236.2903356321872</v>
      </c>
      <c r="D684">
        <f>Data_inputs!C684*K_factor</f>
        <v>910.91341956875181</v>
      </c>
      <c r="E684">
        <f t="shared" si="20"/>
        <v>325.37691606343537</v>
      </c>
      <c r="F684">
        <f>Data_inputs!G684-Data_inputs!H684</f>
        <v>231.12707902591592</v>
      </c>
      <c r="G684">
        <f t="shared" si="21"/>
        <v>492.13808390804377</v>
      </c>
    </row>
    <row r="685" spans="1:7" x14ac:dyDescent="0.3">
      <c r="A685">
        <f>Data_inputs!A685</f>
        <v>682</v>
      </c>
      <c r="B685">
        <f>Data_inputs!B685-Data_inputs!C685</f>
        <v>532.68570618660101</v>
      </c>
      <c r="C685">
        <f>Data_inputs!B685*K_factor</f>
        <v>3317.5145605388584</v>
      </c>
      <c r="D685">
        <f>Data_inputs!C685*K_factor</f>
        <v>2183.2687427284668</v>
      </c>
      <c r="E685">
        <f t="shared" si="20"/>
        <v>1134.2458178103916</v>
      </c>
      <c r="F685">
        <f>Data_inputs!G685-Data_inputs!H685</f>
        <v>1084.2496812210993</v>
      </c>
      <c r="G685">
        <f t="shared" si="21"/>
        <v>2308.6890676891535</v>
      </c>
    </row>
    <row r="686" spans="1:7" x14ac:dyDescent="0.3">
      <c r="A686">
        <f>Data_inputs!A686</f>
        <v>683</v>
      </c>
      <c r="B686">
        <f>Data_inputs!B686-Data_inputs!C686</f>
        <v>475.89253442248946</v>
      </c>
      <c r="C686">
        <f>Data_inputs!B686*K_factor</f>
        <v>2328.9280916834714</v>
      </c>
      <c r="D686">
        <f>Data_inputs!C686*K_factor</f>
        <v>1315.6117765901383</v>
      </c>
      <c r="E686">
        <f t="shared" si="20"/>
        <v>1013.3163150933331</v>
      </c>
      <c r="F686">
        <f>Data_inputs!G686-Data_inputs!H686</f>
        <v>484.69796810142407</v>
      </c>
      <c r="G686">
        <f t="shared" si="21"/>
        <v>1032.0656943395629</v>
      </c>
    </row>
    <row r="687" spans="1:7" x14ac:dyDescent="0.3">
      <c r="A687">
        <f>Data_inputs!A687</f>
        <v>684</v>
      </c>
      <c r="B687">
        <f>Data_inputs!B687-Data_inputs!C687</f>
        <v>606.22688603721485</v>
      </c>
      <c r="C687">
        <f>Data_inputs!B687*K_factor</f>
        <v>3597.7361511211511</v>
      </c>
      <c r="D687">
        <f>Data_inputs!C687*K_factor</f>
        <v>2306.8993553407586</v>
      </c>
      <c r="E687">
        <f t="shared" si="20"/>
        <v>1290.8367957803925</v>
      </c>
      <c r="F687">
        <f>Data_inputs!G687-Data_inputs!H687</f>
        <v>108.60927282468219</v>
      </c>
      <c r="G687">
        <f t="shared" si="21"/>
        <v>231.26134612981335</v>
      </c>
    </row>
    <row r="688" spans="1:7" x14ac:dyDescent="0.3">
      <c r="A688">
        <f>Data_inputs!A688</f>
        <v>685</v>
      </c>
      <c r="B688">
        <f>Data_inputs!B688-Data_inputs!C688</f>
        <v>338.59955135829074</v>
      </c>
      <c r="C688">
        <f>Data_inputs!B688*K_factor</f>
        <v>1748.0094702480965</v>
      </c>
      <c r="D688">
        <f>Data_inputs!C688*K_factor</f>
        <v>1027.0306255368387</v>
      </c>
      <c r="E688">
        <f t="shared" si="20"/>
        <v>720.97884471125781</v>
      </c>
      <c r="F688">
        <f>Data_inputs!G688-Data_inputs!H688</f>
        <v>286.58461648381012</v>
      </c>
      <c r="G688">
        <f t="shared" si="21"/>
        <v>610.22362515146654</v>
      </c>
    </row>
    <row r="689" spans="1:7" x14ac:dyDescent="0.3">
      <c r="A689">
        <f>Data_inputs!A689</f>
        <v>686</v>
      </c>
      <c r="B689">
        <f>Data_inputs!B689-Data_inputs!C689</f>
        <v>450.19077303699282</v>
      </c>
      <c r="C689">
        <f>Data_inputs!B689*K_factor</f>
        <v>2096.5239647776916</v>
      </c>
      <c r="D689">
        <f>Data_inputs!C689*K_factor</f>
        <v>1137.9343206336405</v>
      </c>
      <c r="E689">
        <f t="shared" si="20"/>
        <v>958.58964414405114</v>
      </c>
      <c r="F689">
        <f>Data_inputs!G689-Data_inputs!H689</f>
        <v>286.91927530204066</v>
      </c>
      <c r="G689">
        <f t="shared" si="21"/>
        <v>610.93621300686198</v>
      </c>
    </row>
    <row r="690" spans="1:7" x14ac:dyDescent="0.3">
      <c r="A690">
        <f>Data_inputs!A690</f>
        <v>687</v>
      </c>
      <c r="B690">
        <f>Data_inputs!B690-Data_inputs!C690</f>
        <v>441.2488102353874</v>
      </c>
      <c r="C690">
        <f>Data_inputs!B690*K_factor</f>
        <v>2703.1513871261827</v>
      </c>
      <c r="D690">
        <f>Data_inputs!C690*K_factor</f>
        <v>1763.6018332134702</v>
      </c>
      <c r="E690">
        <f t="shared" si="20"/>
        <v>939.54955391271255</v>
      </c>
      <c r="F690">
        <f>Data_inputs!G690-Data_inputs!H690</f>
        <v>361.38105911758703</v>
      </c>
      <c r="G690">
        <f t="shared" si="21"/>
        <v>769.48742979115309</v>
      </c>
    </row>
    <row r="691" spans="1:7" x14ac:dyDescent="0.3">
      <c r="A691">
        <f>Data_inputs!A691</f>
        <v>688</v>
      </c>
      <c r="B691">
        <f>Data_inputs!B691-Data_inputs!C691</f>
        <v>323.99284061705094</v>
      </c>
      <c r="C691">
        <f>Data_inputs!B691*K_factor</f>
        <v>1515.227588370167</v>
      </c>
      <c r="D691">
        <f>Data_inputs!C691*K_factor</f>
        <v>825.35076193685734</v>
      </c>
      <c r="E691">
        <f t="shared" si="20"/>
        <v>689.8768264333097</v>
      </c>
      <c r="F691">
        <f>Data_inputs!G691-Data_inputs!H691</f>
        <v>185.52982336995183</v>
      </c>
      <c r="G691">
        <f t="shared" si="21"/>
        <v>395.0480063430727</v>
      </c>
    </row>
    <row r="692" spans="1:7" x14ac:dyDescent="0.3">
      <c r="A692">
        <f>Data_inputs!A692</f>
        <v>689</v>
      </c>
      <c r="B692">
        <f>Data_inputs!B692-Data_inputs!C692</f>
        <v>693.54226004049656</v>
      </c>
      <c r="C692">
        <f>Data_inputs!B692*K_factor</f>
        <v>2545.141863027759</v>
      </c>
      <c r="D692">
        <f>Data_inputs!C692*K_factor</f>
        <v>1068.3847456702001</v>
      </c>
      <c r="E692">
        <f t="shared" si="20"/>
        <v>1476.7571173575589</v>
      </c>
      <c r="F692">
        <f>Data_inputs!G692-Data_inputs!H692</f>
        <v>583.44493771559019</v>
      </c>
      <c r="G692">
        <f t="shared" si="21"/>
        <v>1242.327272612667</v>
      </c>
    </row>
    <row r="693" spans="1:7" x14ac:dyDescent="0.3">
      <c r="A693">
        <f>Data_inputs!A693</f>
        <v>690</v>
      </c>
      <c r="B693">
        <f>Data_inputs!B693-Data_inputs!C693</f>
        <v>532.90631724611308</v>
      </c>
      <c r="C693">
        <f>Data_inputs!B693*K_factor</f>
        <v>2141.9123963594088</v>
      </c>
      <c r="D693">
        <f>Data_inputs!C693*K_factor</f>
        <v>1007.1968321888126</v>
      </c>
      <c r="E693">
        <f t="shared" si="20"/>
        <v>1134.7155641705963</v>
      </c>
      <c r="F693">
        <f>Data_inputs!G693-Data_inputs!H693</f>
        <v>381.37665545130903</v>
      </c>
      <c r="G693">
        <f t="shared" si="21"/>
        <v>812.0639833812811</v>
      </c>
    </row>
    <row r="694" spans="1:7" x14ac:dyDescent="0.3">
      <c r="A694">
        <f>Data_inputs!A694</f>
        <v>691</v>
      </c>
      <c r="B694">
        <f>Data_inputs!B694-Data_inputs!C694</f>
        <v>639.00329792847219</v>
      </c>
      <c r="C694">
        <f>Data_inputs!B694*K_factor</f>
        <v>3053.8941397690132</v>
      </c>
      <c r="D694">
        <f>Data_inputs!C694*K_factor</f>
        <v>1693.2666443720884</v>
      </c>
      <c r="E694">
        <f t="shared" si="20"/>
        <v>1360.6274953969248</v>
      </c>
      <c r="F694">
        <f>Data_inputs!G694-Data_inputs!H694</f>
        <v>450.35113439026463</v>
      </c>
      <c r="G694">
        <f t="shared" si="21"/>
        <v>958.93110101472439</v>
      </c>
    </row>
    <row r="695" spans="1:7" x14ac:dyDescent="0.3">
      <c r="A695">
        <f>Data_inputs!A695</f>
        <v>692</v>
      </c>
      <c r="B695">
        <f>Data_inputs!B695-Data_inputs!C695</f>
        <v>395.22376077756036</v>
      </c>
      <c r="C695">
        <f>Data_inputs!B695*K_factor</f>
        <v>1858.3860921289101</v>
      </c>
      <c r="D695">
        <f>Data_inputs!C695*K_factor</f>
        <v>1016.8375156326438</v>
      </c>
      <c r="E695">
        <f t="shared" si="20"/>
        <v>841.54857649626638</v>
      </c>
      <c r="F695">
        <f>Data_inputs!G695-Data_inputs!H695</f>
        <v>304.263320086558</v>
      </c>
      <c r="G695">
        <f t="shared" si="21"/>
        <v>647.8668271237417</v>
      </c>
    </row>
    <row r="696" spans="1:7" x14ac:dyDescent="0.3">
      <c r="A696">
        <f>Data_inputs!A696</f>
        <v>693</v>
      </c>
      <c r="B696">
        <f>Data_inputs!B696-Data_inputs!C696</f>
        <v>578.31081181817444</v>
      </c>
      <c r="C696">
        <f>Data_inputs!B696*K_factor</f>
        <v>2720.1520500075285</v>
      </c>
      <c r="D696">
        <f>Data_inputs!C696*K_factor</f>
        <v>1488.756853776156</v>
      </c>
      <c r="E696">
        <f t="shared" si="20"/>
        <v>1231.3951962313724</v>
      </c>
      <c r="F696">
        <f>Data_inputs!G696-Data_inputs!H696</f>
        <v>395.42738619278862</v>
      </c>
      <c r="G696">
        <f t="shared" si="21"/>
        <v>841.98215538329157</v>
      </c>
    </row>
    <row r="697" spans="1:7" x14ac:dyDescent="0.3">
      <c r="A697">
        <f>Data_inputs!A697</f>
        <v>694</v>
      </c>
      <c r="B697">
        <f>Data_inputs!B697-Data_inputs!C697</f>
        <v>768.33464714395291</v>
      </c>
      <c r="C697">
        <f>Data_inputs!B697*K_factor</f>
        <v>3819.0035896126074</v>
      </c>
      <c r="D697">
        <f>Data_inputs!C697*K_factor</f>
        <v>2182.9913030419402</v>
      </c>
      <c r="E697">
        <f t="shared" si="20"/>
        <v>1636.0122865706671</v>
      </c>
      <c r="F697">
        <f>Data_inputs!G697-Data_inputs!H697</f>
        <v>77.273553833801998</v>
      </c>
      <c r="G697">
        <f t="shared" si="21"/>
        <v>164.53830888533932</v>
      </c>
    </row>
    <row r="698" spans="1:7" x14ac:dyDescent="0.3">
      <c r="A698">
        <f>Data_inputs!A698</f>
        <v>695</v>
      </c>
      <c r="B698">
        <f>Data_inputs!B698-Data_inputs!C698</f>
        <v>388.38565034138634</v>
      </c>
      <c r="C698">
        <f>Data_inputs!B698*K_factor</f>
        <v>1867.8061325466836</v>
      </c>
      <c r="D698">
        <f>Data_inputs!C698*K_factor</f>
        <v>1040.8179207718219</v>
      </c>
      <c r="E698">
        <f t="shared" si="20"/>
        <v>826.98821177486161</v>
      </c>
      <c r="F698">
        <f>Data_inputs!G698-Data_inputs!H698</f>
        <v>252.0598860386317</v>
      </c>
      <c r="G698">
        <f t="shared" si="21"/>
        <v>536.71023693083896</v>
      </c>
    </row>
    <row r="699" spans="1:7" x14ac:dyDescent="0.3">
      <c r="A699">
        <f>Data_inputs!A699</f>
        <v>696</v>
      </c>
      <c r="B699">
        <f>Data_inputs!B699-Data_inputs!C699</f>
        <v>306.63754357810785</v>
      </c>
      <c r="C699">
        <f>Data_inputs!B699*K_factor</f>
        <v>2916.8923093112548</v>
      </c>
      <c r="D699">
        <f>Data_inputs!C699*K_factor</f>
        <v>2263.9700563809602</v>
      </c>
      <c r="E699">
        <f t="shared" si="20"/>
        <v>652.92225293029469</v>
      </c>
      <c r="F699">
        <f>Data_inputs!G699-Data_inputs!H699</f>
        <v>422.22687456080484</v>
      </c>
      <c r="G699">
        <f t="shared" si="21"/>
        <v>899.04621257095039</v>
      </c>
    </row>
    <row r="700" spans="1:7" x14ac:dyDescent="0.3">
      <c r="A700">
        <f>Data_inputs!A700</f>
        <v>697</v>
      </c>
      <c r="B700">
        <f>Data_inputs!B700-Data_inputs!C700</f>
        <v>624.57367275808576</v>
      </c>
      <c r="C700">
        <f>Data_inputs!B700*K_factor</f>
        <v>2984.8943698544199</v>
      </c>
      <c r="D700">
        <f>Data_inputs!C700*K_factor</f>
        <v>1654.991825046556</v>
      </c>
      <c r="E700">
        <f t="shared" si="20"/>
        <v>1329.9025448078639</v>
      </c>
      <c r="F700">
        <f>Data_inputs!G700-Data_inputs!H700</f>
        <v>496.08516569722588</v>
      </c>
      <c r="G700">
        <f t="shared" si="21"/>
        <v>1056.3124144967101</v>
      </c>
    </row>
    <row r="701" spans="1:7" x14ac:dyDescent="0.3">
      <c r="A701">
        <f>Data_inputs!A701</f>
        <v>698</v>
      </c>
      <c r="B701">
        <f>Data_inputs!B701-Data_inputs!C701</f>
        <v>379.71447173311594</v>
      </c>
      <c r="C701">
        <f>Data_inputs!B701*K_factor</f>
        <v>3189.5770992744069</v>
      </c>
      <c r="D701">
        <f>Data_inputs!C701*K_factor</f>
        <v>2381.052397891679</v>
      </c>
      <c r="E701">
        <f t="shared" si="20"/>
        <v>808.52470138272793</v>
      </c>
      <c r="F701">
        <f>Data_inputs!G701-Data_inputs!H701</f>
        <v>707.16112848052899</v>
      </c>
      <c r="G701">
        <f t="shared" si="21"/>
        <v>1505.7557264661077</v>
      </c>
    </row>
    <row r="702" spans="1:7" x14ac:dyDescent="0.3">
      <c r="A702">
        <f>Data_inputs!A702</f>
        <v>699</v>
      </c>
      <c r="B702">
        <f>Data_inputs!B702-Data_inputs!C702</f>
        <v>1816.2992622656423</v>
      </c>
      <c r="C702">
        <f>Data_inputs!B702*K_factor</f>
        <v>7282.7480028956561</v>
      </c>
      <c r="D702">
        <f>Data_inputs!C702*K_factor</f>
        <v>3415.3083134303715</v>
      </c>
      <c r="E702">
        <f t="shared" si="20"/>
        <v>3867.4396894652846</v>
      </c>
      <c r="F702">
        <f>Data_inputs!G702-Data_inputs!H702</f>
        <v>1738.153663827733</v>
      </c>
      <c r="G702">
        <f t="shared" si="21"/>
        <v>3701.0445390434352</v>
      </c>
    </row>
    <row r="703" spans="1:7" x14ac:dyDescent="0.3">
      <c r="A703">
        <f>Data_inputs!A703</f>
        <v>700</v>
      </c>
      <c r="B703">
        <f>Data_inputs!B703-Data_inputs!C703</f>
        <v>190.98564312708896</v>
      </c>
      <c r="C703">
        <f>Data_inputs!B703*K_factor</f>
        <v>1193.6317346344233</v>
      </c>
      <c r="D703">
        <f>Data_inputs!C703*K_factor</f>
        <v>786.96667029563207</v>
      </c>
      <c r="E703">
        <f t="shared" si="20"/>
        <v>406.66506433879124</v>
      </c>
      <c r="F703">
        <f>Data_inputs!G703-Data_inputs!H703</f>
        <v>207.82797750867508</v>
      </c>
      <c r="G703">
        <f t="shared" si="21"/>
        <v>442.52738824313559</v>
      </c>
    </row>
    <row r="704" spans="1:7" x14ac:dyDescent="0.3">
      <c r="A704">
        <f>Data_inputs!A704</f>
        <v>701</v>
      </c>
      <c r="B704">
        <f>Data_inputs!B704-Data_inputs!C704</f>
        <v>1083.0867924049414</v>
      </c>
      <c r="C704">
        <f>Data_inputs!B704*K_factor</f>
        <v>4130.2937720515956</v>
      </c>
      <c r="D704">
        <f>Data_inputs!C704*K_factor</f>
        <v>1824.0808394661008</v>
      </c>
      <c r="E704">
        <f t="shared" si="20"/>
        <v>2306.2129325854949</v>
      </c>
      <c r="F704">
        <f>Data_inputs!G704-Data_inputs!H704</f>
        <v>372.63870388376063</v>
      </c>
      <c r="G704">
        <f t="shared" si="21"/>
        <v>793.45829355965543</v>
      </c>
    </row>
    <row r="705" spans="1:7" x14ac:dyDescent="0.3">
      <c r="A705">
        <f>Data_inputs!A705</f>
        <v>702</v>
      </c>
      <c r="B705">
        <f>Data_inputs!B705-Data_inputs!C705</f>
        <v>1374.4059173503549</v>
      </c>
      <c r="C705">
        <f>Data_inputs!B705*K_factor</f>
        <v>4859.5403881527018</v>
      </c>
      <c r="D705">
        <f>Data_inputs!C705*K_factor</f>
        <v>1933.0226580478818</v>
      </c>
      <c r="E705">
        <f t="shared" si="20"/>
        <v>2926.5177301048197</v>
      </c>
      <c r="F705">
        <f>Data_inputs!G705-Data_inputs!H705</f>
        <v>210.33646684368591</v>
      </c>
      <c r="G705">
        <f t="shared" si="21"/>
        <v>447.86870584226278</v>
      </c>
    </row>
    <row r="706" spans="1:7" x14ac:dyDescent="0.3">
      <c r="A706">
        <f>Data_inputs!A706</f>
        <v>703</v>
      </c>
      <c r="B706">
        <f>Data_inputs!B706-Data_inputs!C706</f>
        <v>279.54879575651103</v>
      </c>
      <c r="C706">
        <f>Data_inputs!B706*K_factor</f>
        <v>1277.3885254046552</v>
      </c>
      <c r="D706">
        <f>Data_inputs!C706*K_factor</f>
        <v>682.14624880847953</v>
      </c>
      <c r="E706">
        <f t="shared" si="20"/>
        <v>595.24227659617566</v>
      </c>
      <c r="F706">
        <f>Data_inputs!G706-Data_inputs!H706</f>
        <v>206.09748519694449</v>
      </c>
      <c r="G706">
        <f t="shared" si="21"/>
        <v>438.84265699441329</v>
      </c>
    </row>
    <row r="707" spans="1:7" x14ac:dyDescent="0.3">
      <c r="A707">
        <f>Data_inputs!A707</f>
        <v>704</v>
      </c>
      <c r="B707">
        <f>Data_inputs!B707-Data_inputs!C707</f>
        <v>197.5341559423689</v>
      </c>
      <c r="C707">
        <f>Data_inputs!B707*K_factor</f>
        <v>2829.4857981910582</v>
      </c>
      <c r="D707">
        <f>Data_inputs!C707*K_factor</f>
        <v>2408.877008335804</v>
      </c>
      <c r="E707">
        <f t="shared" si="20"/>
        <v>420.60878985525414</v>
      </c>
      <c r="F707">
        <f>Data_inputs!G707-Data_inputs!H707</f>
        <v>443.18840592405513</v>
      </c>
      <c r="G707">
        <f t="shared" si="21"/>
        <v>943.6795282532363</v>
      </c>
    </row>
    <row r="708" spans="1:7" x14ac:dyDescent="0.3">
      <c r="A708">
        <f>Data_inputs!A708</f>
        <v>705</v>
      </c>
      <c r="B708">
        <f>Data_inputs!B708-Data_inputs!C708</f>
        <v>339.67865714702145</v>
      </c>
      <c r="C708">
        <f>Data_inputs!B708*K_factor</f>
        <v>2278.2910960660743</v>
      </c>
      <c r="D708">
        <f>Data_inputs!C708*K_factor</f>
        <v>1555.0145151594809</v>
      </c>
      <c r="E708">
        <f t="shared" ref="E708:E771" si="22">C708-D708</f>
        <v>723.27658090659338</v>
      </c>
      <c r="F708">
        <f>Data_inputs!G708-Data_inputs!H708</f>
        <v>392.66467024844314</v>
      </c>
      <c r="G708">
        <f t="shared" ref="G708:G771" si="23">F708*K_factor</f>
        <v>836.09951395087012</v>
      </c>
    </row>
    <row r="709" spans="1:7" x14ac:dyDescent="0.3">
      <c r="A709">
        <f>Data_inputs!A709</f>
        <v>706</v>
      </c>
      <c r="B709">
        <f>Data_inputs!B709-Data_inputs!C709</f>
        <v>1274.4403812274304</v>
      </c>
      <c r="C709">
        <f>Data_inputs!B709*K_factor</f>
        <v>4396.4233326518188</v>
      </c>
      <c r="D709">
        <f>Data_inputs!C709*K_factor</f>
        <v>1682.7618702405823</v>
      </c>
      <c r="E709">
        <f t="shared" si="22"/>
        <v>2713.6614624112362</v>
      </c>
      <c r="F709">
        <f>Data_inputs!G709-Data_inputs!H709</f>
        <v>128.31349785285602</v>
      </c>
      <c r="G709">
        <f t="shared" si="23"/>
        <v>273.21748381444638</v>
      </c>
    </row>
    <row r="710" spans="1:7" x14ac:dyDescent="0.3">
      <c r="A710">
        <f>Data_inputs!A710</f>
        <v>707</v>
      </c>
      <c r="B710">
        <f>Data_inputs!B710-Data_inputs!C710</f>
        <v>552.6077593168676</v>
      </c>
      <c r="C710">
        <f>Data_inputs!B710*K_factor</f>
        <v>3023.1137864881384</v>
      </c>
      <c r="D710">
        <f>Data_inputs!C710*K_factor</f>
        <v>1846.4480103744436</v>
      </c>
      <c r="E710">
        <f t="shared" si="22"/>
        <v>1176.6657761136948</v>
      </c>
      <c r="F710">
        <f>Data_inputs!G710-Data_inputs!H710</f>
        <v>564.74695171574876</v>
      </c>
      <c r="G710">
        <f t="shared" si="23"/>
        <v>1202.5137161843891</v>
      </c>
    </row>
    <row r="711" spans="1:7" x14ac:dyDescent="0.3">
      <c r="A711">
        <f>Data_inputs!A711</f>
        <v>708</v>
      </c>
      <c r="B711">
        <f>Data_inputs!B711-Data_inputs!C711</f>
        <v>398.96412067797053</v>
      </c>
      <c r="C711">
        <f>Data_inputs!B711*K_factor</f>
        <v>1985.8013379914917</v>
      </c>
      <c r="D711">
        <f>Data_inputs!C711*K_factor</f>
        <v>1136.2884261941765</v>
      </c>
      <c r="E711">
        <f t="shared" si="22"/>
        <v>849.51291179731516</v>
      </c>
      <c r="F711">
        <f>Data_inputs!G711-Data_inputs!H711</f>
        <v>136.12657235514303</v>
      </c>
      <c r="G711">
        <f t="shared" si="23"/>
        <v>289.85383612414341</v>
      </c>
    </row>
    <row r="712" spans="1:7" x14ac:dyDescent="0.3">
      <c r="A712">
        <f>Data_inputs!A712</f>
        <v>709</v>
      </c>
      <c r="B712">
        <f>Data_inputs!B712-Data_inputs!C712</f>
        <v>8.9232992131799165</v>
      </c>
      <c r="C712">
        <f>Data_inputs!B712*K_factor</f>
        <v>2493.8244166778873</v>
      </c>
      <c r="D712">
        <f>Data_inputs!C712*K_factor</f>
        <v>2474.8240667603422</v>
      </c>
      <c r="E712">
        <f t="shared" si="22"/>
        <v>19.000349917545009</v>
      </c>
      <c r="F712">
        <f>Data_inputs!G712-Data_inputs!H712</f>
        <v>328.09887911369788</v>
      </c>
      <c r="G712">
        <f t="shared" si="23"/>
        <v>698.61979989496069</v>
      </c>
    </row>
    <row r="713" spans="1:7" x14ac:dyDescent="0.3">
      <c r="A713">
        <f>Data_inputs!A713</f>
        <v>710</v>
      </c>
      <c r="B713">
        <f>Data_inputs!B713-Data_inputs!C713</f>
        <v>1171.9588047272839</v>
      </c>
      <c r="C713">
        <f>Data_inputs!B713*K_factor</f>
        <v>4605.8374094541259</v>
      </c>
      <c r="D713">
        <f>Data_inputs!C713*K_factor</f>
        <v>2110.3896107434657</v>
      </c>
      <c r="E713">
        <f t="shared" si="22"/>
        <v>2495.4477987106602</v>
      </c>
      <c r="F713">
        <f>Data_inputs!G713-Data_inputs!H713</f>
        <v>99.197772270021005</v>
      </c>
      <c r="G713">
        <f t="shared" si="23"/>
        <v>211.22147079719991</v>
      </c>
    </row>
    <row r="714" spans="1:7" x14ac:dyDescent="0.3">
      <c r="A714">
        <f>Data_inputs!A714</f>
        <v>711</v>
      </c>
      <c r="B714">
        <f>Data_inputs!B714-Data_inputs!C714</f>
        <v>707.906792016704</v>
      </c>
      <c r="C714">
        <f>Data_inputs!B714*K_factor</f>
        <v>3704.5758532433683</v>
      </c>
      <c r="D714">
        <f>Data_inputs!C714*K_factor</f>
        <v>2197.232388008269</v>
      </c>
      <c r="E714">
        <f t="shared" si="22"/>
        <v>1507.3434652350993</v>
      </c>
      <c r="F714">
        <f>Data_inputs!G714-Data_inputs!H714</f>
        <v>166.63897432422891</v>
      </c>
      <c r="G714">
        <f t="shared" si="23"/>
        <v>354.82378730331351</v>
      </c>
    </row>
    <row r="715" spans="1:7" x14ac:dyDescent="0.3">
      <c r="A715">
        <f>Data_inputs!A715</f>
        <v>712</v>
      </c>
      <c r="B715">
        <f>Data_inputs!B715-Data_inputs!C715</f>
        <v>1065.6327450692083</v>
      </c>
      <c r="C715">
        <f>Data_inputs!B715*K_factor</f>
        <v>4092.098219336734</v>
      </c>
      <c r="D715">
        <f>Data_inputs!C715*K_factor</f>
        <v>1823.0501289170713</v>
      </c>
      <c r="E715">
        <f t="shared" si="22"/>
        <v>2269.0480904196629</v>
      </c>
      <c r="F715">
        <f>Data_inputs!G715-Data_inputs!H715</f>
        <v>59.824932425927045</v>
      </c>
      <c r="G715">
        <f t="shared" si="23"/>
        <v>127.38502012878652</v>
      </c>
    </row>
    <row r="716" spans="1:7" x14ac:dyDescent="0.3">
      <c r="A716">
        <f>Data_inputs!A716</f>
        <v>713</v>
      </c>
      <c r="B716">
        <f>Data_inputs!B716-Data_inputs!C716</f>
        <v>432.80792308678974</v>
      </c>
      <c r="C716">
        <f>Data_inputs!B716*K_factor</f>
        <v>2873.0092508952007</v>
      </c>
      <c r="D716">
        <f>Data_inputs!C716*K_factor</f>
        <v>1951.4328485720907</v>
      </c>
      <c r="E716">
        <f t="shared" si="22"/>
        <v>921.57640232310996</v>
      </c>
      <c r="F716">
        <f>Data_inputs!G716-Data_inputs!H716</f>
        <v>346.298103682082</v>
      </c>
      <c r="G716">
        <f t="shared" si="23"/>
        <v>737.37134534538575</v>
      </c>
    </row>
    <row r="717" spans="1:7" x14ac:dyDescent="0.3">
      <c r="A717">
        <f>Data_inputs!A717</f>
        <v>714</v>
      </c>
      <c r="B717">
        <f>Data_inputs!B717-Data_inputs!C717</f>
        <v>368.89603758930446</v>
      </c>
      <c r="C717">
        <f>Data_inputs!B717*K_factor</f>
        <v>2065.0157175135023</v>
      </c>
      <c r="D717">
        <f>Data_inputs!C717*K_factor</f>
        <v>1279.5266702516999</v>
      </c>
      <c r="E717">
        <f t="shared" si="22"/>
        <v>785.4890472618024</v>
      </c>
      <c r="F717">
        <f>Data_inputs!G717-Data_inputs!H717</f>
        <v>182.08897776718186</v>
      </c>
      <c r="G717">
        <f t="shared" si="23"/>
        <v>387.72142579220287</v>
      </c>
    </row>
    <row r="718" spans="1:7" x14ac:dyDescent="0.3">
      <c r="A718">
        <f>Data_inputs!A718</f>
        <v>715</v>
      </c>
      <c r="B718">
        <f>Data_inputs!B718-Data_inputs!C718</f>
        <v>358.48605703927592</v>
      </c>
      <c r="C718">
        <f>Data_inputs!B718*K_factor</f>
        <v>2072.6618810405557</v>
      </c>
      <c r="D718">
        <f>Data_inputs!C718*K_factor</f>
        <v>1309.338769085869</v>
      </c>
      <c r="E718">
        <f t="shared" si="22"/>
        <v>763.32311195468674</v>
      </c>
      <c r="F718">
        <f>Data_inputs!G718-Data_inputs!H718</f>
        <v>391.10105806618094</v>
      </c>
      <c r="G718">
        <f t="shared" si="23"/>
        <v>832.77011998025921</v>
      </c>
    </row>
    <row r="719" spans="1:7" x14ac:dyDescent="0.3">
      <c r="A719">
        <f>Data_inputs!A719</f>
        <v>716</v>
      </c>
      <c r="B719">
        <f>Data_inputs!B719-Data_inputs!C719</f>
        <v>1181.7632395603625</v>
      </c>
      <c r="C719">
        <f>Data_inputs!B719*K_factor</f>
        <v>4261.7367296271641</v>
      </c>
      <c r="D719">
        <f>Data_inputs!C719*K_factor</f>
        <v>1745.4123819942045</v>
      </c>
      <c r="E719">
        <f t="shared" si="22"/>
        <v>2516.3243476329599</v>
      </c>
      <c r="F719">
        <f>Data_inputs!G719-Data_inputs!H719</f>
        <v>145.66879462467091</v>
      </c>
      <c r="G719">
        <f t="shared" si="23"/>
        <v>310.17205674866636</v>
      </c>
    </row>
    <row r="720" spans="1:7" x14ac:dyDescent="0.3">
      <c r="A720">
        <f>Data_inputs!A720</f>
        <v>717</v>
      </c>
      <c r="B720">
        <f>Data_inputs!B720-Data_inputs!C720</f>
        <v>224.42836050732069</v>
      </c>
      <c r="C720">
        <f>Data_inputs!B720*K_factor</f>
        <v>1883.9560718439182</v>
      </c>
      <c r="D720">
        <f>Data_inputs!C720*K_factor</f>
        <v>1406.0815459329499</v>
      </c>
      <c r="E720">
        <f t="shared" si="22"/>
        <v>477.87452591096826</v>
      </c>
      <c r="F720">
        <f>Data_inputs!G720-Data_inputs!H720</f>
        <v>263.01896785621602</v>
      </c>
      <c r="G720">
        <f t="shared" si="23"/>
        <v>560.04537165338127</v>
      </c>
    </row>
    <row r="721" spans="1:7" x14ac:dyDescent="0.3">
      <c r="A721">
        <f>Data_inputs!A721</f>
        <v>718</v>
      </c>
      <c r="B721">
        <f>Data_inputs!B721-Data_inputs!C721</f>
        <v>280.21060993727053</v>
      </c>
      <c r="C721">
        <f>Data_inputs!B721*K_factor</f>
        <v>1915.7047075661592</v>
      </c>
      <c r="D721">
        <f>Data_inputs!C721*K_factor</f>
        <v>1319.0532323412688</v>
      </c>
      <c r="E721">
        <f t="shared" si="22"/>
        <v>596.65147522489042</v>
      </c>
      <c r="F721">
        <f>Data_inputs!G721-Data_inputs!H721</f>
        <v>294.9168308358901</v>
      </c>
      <c r="G721">
        <f t="shared" si="23"/>
        <v>627.96538013416136</v>
      </c>
    </row>
    <row r="722" spans="1:7" x14ac:dyDescent="0.3">
      <c r="A722">
        <f>Data_inputs!A722</f>
        <v>719</v>
      </c>
      <c r="B722">
        <f>Data_inputs!B722-Data_inputs!C722</f>
        <v>1425.5295566489492</v>
      </c>
      <c r="C722">
        <f>Data_inputs!B722*K_factor</f>
        <v>5200.5086415037322</v>
      </c>
      <c r="D722">
        <f>Data_inputs!C722*K_factor</f>
        <v>2165.1335244027523</v>
      </c>
      <c r="E722">
        <f t="shared" si="22"/>
        <v>3035.3751171009799</v>
      </c>
      <c r="F722">
        <f>Data_inputs!G722-Data_inputs!H722</f>
        <v>73.701217430105999</v>
      </c>
      <c r="G722">
        <f t="shared" si="23"/>
        <v>156.93174543029403</v>
      </c>
    </row>
    <row r="723" spans="1:7" x14ac:dyDescent="0.3">
      <c r="A723">
        <f>Data_inputs!A723</f>
        <v>720</v>
      </c>
      <c r="B723">
        <f>Data_inputs!B723-Data_inputs!C723</f>
        <v>583.96918402173492</v>
      </c>
      <c r="C723">
        <f>Data_inputs!B723*K_factor</f>
        <v>2632.4621114769061</v>
      </c>
      <c r="D723">
        <f>Data_inputs!C723*K_factor</f>
        <v>1389.018563031527</v>
      </c>
      <c r="E723">
        <f t="shared" si="22"/>
        <v>1243.4435484453791</v>
      </c>
      <c r="F723">
        <f>Data_inputs!G723-Data_inputs!H723</f>
        <v>410.79250254479484</v>
      </c>
      <c r="G723">
        <f t="shared" si="23"/>
        <v>874.6990440852536</v>
      </c>
    </row>
    <row r="724" spans="1:7" x14ac:dyDescent="0.3">
      <c r="A724">
        <f>Data_inputs!A724</f>
        <v>721</v>
      </c>
      <c r="B724">
        <f>Data_inputs!B724-Data_inputs!C724</f>
        <v>610.56912595517827</v>
      </c>
      <c r="C724">
        <f>Data_inputs!B724*K_factor</f>
        <v>2952.4729523166575</v>
      </c>
      <c r="D724">
        <f>Data_inputs!C724*K_factor</f>
        <v>1652.3902402113499</v>
      </c>
      <c r="E724">
        <f t="shared" si="22"/>
        <v>1300.0827121053076</v>
      </c>
      <c r="F724">
        <f>Data_inputs!G724-Data_inputs!H724</f>
        <v>261.46414843834782</v>
      </c>
      <c r="G724">
        <f t="shared" si="23"/>
        <v>556.7347000853523</v>
      </c>
    </row>
    <row r="725" spans="1:7" x14ac:dyDescent="0.3">
      <c r="A725">
        <f>Data_inputs!A725</f>
        <v>722</v>
      </c>
      <c r="B725">
        <f>Data_inputs!B725-Data_inputs!C725</f>
        <v>426.41567463029799</v>
      </c>
      <c r="C725">
        <f>Data_inputs!B725*K_factor</f>
        <v>3047.108030154388</v>
      </c>
      <c r="D725">
        <f>Data_inputs!C725*K_factor</f>
        <v>2139.1426201931436</v>
      </c>
      <c r="E725">
        <f t="shared" si="22"/>
        <v>907.9654099612444</v>
      </c>
      <c r="F725">
        <f>Data_inputs!G725-Data_inputs!H725</f>
        <v>360.69385609056417</v>
      </c>
      <c r="G725">
        <f t="shared" si="23"/>
        <v>768.02417078056817</v>
      </c>
    </row>
    <row r="726" spans="1:7" x14ac:dyDescent="0.3">
      <c r="A726">
        <f>Data_inputs!A726</f>
        <v>723</v>
      </c>
      <c r="B726">
        <f>Data_inputs!B726-Data_inputs!C726</f>
        <v>344.47732994115984</v>
      </c>
      <c r="C726">
        <f>Data_inputs!B726*K_factor</f>
        <v>2296.7042836420392</v>
      </c>
      <c r="D726">
        <f>Data_inputs!C726*K_factor</f>
        <v>1563.2099054779289</v>
      </c>
      <c r="E726">
        <f t="shared" si="22"/>
        <v>733.49437816411023</v>
      </c>
      <c r="F726">
        <f>Data_inputs!G726-Data_inputs!H726</f>
        <v>457.03622917534676</v>
      </c>
      <c r="G726">
        <f t="shared" si="23"/>
        <v>973.16565004350809</v>
      </c>
    </row>
    <row r="727" spans="1:7" x14ac:dyDescent="0.3">
      <c r="A727">
        <f>Data_inputs!A727</f>
        <v>724</v>
      </c>
      <c r="B727">
        <f>Data_inputs!B727-Data_inputs!C727</f>
        <v>459.40803852657064</v>
      </c>
      <c r="C727">
        <f>Data_inputs!B727*K_factor</f>
        <v>2648.4124658968121</v>
      </c>
      <c r="D727">
        <f>Data_inputs!C727*K_factor</f>
        <v>1670.1965304673342</v>
      </c>
      <c r="E727">
        <f t="shared" si="22"/>
        <v>978.2159354294779</v>
      </c>
      <c r="F727">
        <f>Data_inputs!G727-Data_inputs!H727</f>
        <v>362.74761199616592</v>
      </c>
      <c r="G727">
        <f t="shared" si="23"/>
        <v>772.39722607316912</v>
      </c>
    </row>
    <row r="728" spans="1:7" x14ac:dyDescent="0.3">
      <c r="A728">
        <f>Data_inputs!A728</f>
        <v>725</v>
      </c>
      <c r="B728">
        <f>Data_inputs!B728-Data_inputs!C728</f>
        <v>367.65273613236582</v>
      </c>
      <c r="C728">
        <f>Data_inputs!B728*K_factor</f>
        <v>2159.2691085241172</v>
      </c>
      <c r="D728">
        <f>Data_inputs!C728*K_factor</f>
        <v>1376.4274187217547</v>
      </c>
      <c r="E728">
        <f t="shared" si="22"/>
        <v>782.84168980236245</v>
      </c>
      <c r="F728">
        <f>Data_inputs!G728-Data_inputs!H728</f>
        <v>386.57018883578303</v>
      </c>
      <c r="G728">
        <f t="shared" si="23"/>
        <v>823.12255591773794</v>
      </c>
    </row>
    <row r="729" spans="1:7" x14ac:dyDescent="0.3">
      <c r="A729">
        <f>Data_inputs!A729</f>
        <v>726</v>
      </c>
      <c r="B729">
        <f>Data_inputs!B729-Data_inputs!C729</f>
        <v>741.59179989483903</v>
      </c>
      <c r="C729">
        <f>Data_inputs!B729*K_factor</f>
        <v>3725.981695867888</v>
      </c>
      <c r="D729">
        <f>Data_inputs!C729*K_factor</f>
        <v>2146.9128607477915</v>
      </c>
      <c r="E729">
        <f t="shared" si="22"/>
        <v>1579.0688351200965</v>
      </c>
      <c r="F729">
        <f>Data_inputs!G729-Data_inputs!H729</f>
        <v>573.04530122423921</v>
      </c>
      <c r="G729">
        <f t="shared" si="23"/>
        <v>1220.1833628736454</v>
      </c>
    </row>
    <row r="730" spans="1:7" x14ac:dyDescent="0.3">
      <c r="A730">
        <f>Data_inputs!A730</f>
        <v>727</v>
      </c>
      <c r="B730">
        <f>Data_inputs!B730-Data_inputs!C730</f>
        <v>403.2929585435059</v>
      </c>
      <c r="C730">
        <f>Data_inputs!B730*K_factor</f>
        <v>1684.3804932985427</v>
      </c>
      <c r="D730">
        <f>Data_inputs!C730*K_factor</f>
        <v>825.65020211984279</v>
      </c>
      <c r="E730">
        <f t="shared" si="22"/>
        <v>858.73029117869987</v>
      </c>
      <c r="F730">
        <f>Data_inputs!G730-Data_inputs!H730</f>
        <v>276.5597411019271</v>
      </c>
      <c r="G730">
        <f t="shared" si="23"/>
        <v>588.87769293681833</v>
      </c>
    </row>
    <row r="731" spans="1:7" x14ac:dyDescent="0.3">
      <c r="A731">
        <f>Data_inputs!A731</f>
        <v>728</v>
      </c>
      <c r="B731">
        <f>Data_inputs!B731-Data_inputs!C731</f>
        <v>415.19235413682964</v>
      </c>
      <c r="C731">
        <f>Data_inputs!B731*K_factor</f>
        <v>2057.3319994648118</v>
      </c>
      <c r="D731">
        <f>Data_inputs!C731*K_factor</f>
        <v>1173.2643667178161</v>
      </c>
      <c r="E731">
        <f t="shared" si="22"/>
        <v>884.06763274699574</v>
      </c>
      <c r="F731">
        <f>Data_inputs!G731-Data_inputs!H731</f>
        <v>242.37449799399792</v>
      </c>
      <c r="G731">
        <f t="shared" si="23"/>
        <v>516.08717392030587</v>
      </c>
    </row>
    <row r="732" spans="1:7" x14ac:dyDescent="0.3">
      <c r="A732">
        <f>Data_inputs!A732</f>
        <v>729</v>
      </c>
      <c r="B732">
        <f>Data_inputs!B732-Data_inputs!C732</f>
        <v>408.04272637355052</v>
      </c>
      <c r="C732">
        <f>Data_inputs!B732*K_factor</f>
        <v>2708.0479988632687</v>
      </c>
      <c r="D732">
        <f>Data_inputs!C732*K_factor</f>
        <v>1839.2040435966665</v>
      </c>
      <c r="E732">
        <f t="shared" si="22"/>
        <v>868.84395526660228</v>
      </c>
      <c r="F732">
        <f>Data_inputs!G732-Data_inputs!H732</f>
        <v>347.96507941604932</v>
      </c>
      <c r="G732">
        <f t="shared" si="23"/>
        <v>740.92083096642762</v>
      </c>
    </row>
    <row r="733" spans="1:7" x14ac:dyDescent="0.3">
      <c r="A733">
        <f>Data_inputs!A733</f>
        <v>730</v>
      </c>
      <c r="B733">
        <f>Data_inputs!B733-Data_inputs!C733</f>
        <v>535.917910862393</v>
      </c>
      <c r="C733">
        <f>Data_inputs!B733*K_factor</f>
        <v>2581.6849138653756</v>
      </c>
      <c r="D733">
        <f>Data_inputs!C733*K_factor</f>
        <v>1440.5567739028293</v>
      </c>
      <c r="E733">
        <f t="shared" si="22"/>
        <v>1141.1281399625464</v>
      </c>
      <c r="F733">
        <f>Data_inputs!G733-Data_inputs!H733</f>
        <v>373.65629750378116</v>
      </c>
      <c r="G733">
        <f t="shared" si="23"/>
        <v>795.62505210852191</v>
      </c>
    </row>
    <row r="734" spans="1:7" x14ac:dyDescent="0.3">
      <c r="A734">
        <f>Data_inputs!A734</f>
        <v>731</v>
      </c>
      <c r="B734">
        <f>Data_inputs!B734-Data_inputs!C734</f>
        <v>327.68820637611407</v>
      </c>
      <c r="C734">
        <f>Data_inputs!B734*K_factor</f>
        <v>2260.0968499821324</v>
      </c>
      <c r="D734">
        <f>Data_inputs!C734*K_factor</f>
        <v>1562.3514941161429</v>
      </c>
      <c r="E734">
        <f t="shared" si="22"/>
        <v>697.7453558659895</v>
      </c>
      <c r="F734">
        <f>Data_inputs!G734-Data_inputs!H734</f>
        <v>507.278027740997</v>
      </c>
      <c r="G734">
        <f t="shared" si="23"/>
        <v>1080.145336640164</v>
      </c>
    </row>
    <row r="735" spans="1:7" x14ac:dyDescent="0.3">
      <c r="A735">
        <f>Data_inputs!A735</f>
        <v>732</v>
      </c>
      <c r="B735">
        <f>Data_inputs!B735-Data_inputs!C735</f>
        <v>-59.256191265504867</v>
      </c>
      <c r="C735">
        <f>Data_inputs!B735*K_factor</f>
        <v>2503.9052315361919</v>
      </c>
      <c r="D735">
        <f>Data_inputs!C735*K_factor</f>
        <v>2630.0792330941149</v>
      </c>
      <c r="E735">
        <f t="shared" si="22"/>
        <v>-126.17400155792302</v>
      </c>
      <c r="F735">
        <f>Data_inputs!G735-Data_inputs!H735</f>
        <v>-205.21124543866813</v>
      </c>
      <c r="G735">
        <f t="shared" si="23"/>
        <v>-436.95558976559954</v>
      </c>
    </row>
    <row r="736" spans="1:7" x14ac:dyDescent="0.3">
      <c r="A736">
        <f>Data_inputs!A736</f>
        <v>733</v>
      </c>
      <c r="B736">
        <f>Data_inputs!B736-Data_inputs!C736</f>
        <v>-152.24904801258981</v>
      </c>
      <c r="C736">
        <f>Data_inputs!B736*K_factor</f>
        <v>2643.3214247347969</v>
      </c>
      <c r="D736">
        <f>Data_inputs!C736*K_factor</f>
        <v>2967.5047920906322</v>
      </c>
      <c r="E736">
        <f t="shared" si="22"/>
        <v>-324.18336735583534</v>
      </c>
      <c r="F736">
        <f>Data_inputs!G736-Data_inputs!H736</f>
        <v>593.47814069460014</v>
      </c>
      <c r="G736">
        <f t="shared" si="23"/>
        <v>1263.6909367508565</v>
      </c>
    </row>
    <row r="737" spans="1:7" x14ac:dyDescent="0.3">
      <c r="A737">
        <f>Data_inputs!A737</f>
        <v>734</v>
      </c>
      <c r="B737">
        <f>Data_inputs!B737-Data_inputs!C737</f>
        <v>562.092741435471</v>
      </c>
      <c r="C737">
        <f>Data_inputs!B737*K_factor</f>
        <v>2342.5082311875476</v>
      </c>
      <c r="D737">
        <f>Data_inputs!C737*K_factor</f>
        <v>1145.6461157032154</v>
      </c>
      <c r="E737">
        <f t="shared" si="22"/>
        <v>1196.8621154843322</v>
      </c>
      <c r="F737">
        <f>Data_inputs!G737-Data_inputs!H737</f>
        <v>360.82913781330308</v>
      </c>
      <c r="G737">
        <f t="shared" si="23"/>
        <v>768.31222568134876</v>
      </c>
    </row>
    <row r="738" spans="1:7" x14ac:dyDescent="0.3">
      <c r="A738">
        <f>Data_inputs!A738</f>
        <v>735</v>
      </c>
      <c r="B738">
        <f>Data_inputs!B738-Data_inputs!C738</f>
        <v>457.80789167639364</v>
      </c>
      <c r="C738">
        <f>Data_inputs!B738*K_factor</f>
        <v>2409.4743255438902</v>
      </c>
      <c r="D738">
        <f>Data_inputs!C738*K_factor</f>
        <v>1434.6655772260931</v>
      </c>
      <c r="E738">
        <f t="shared" si="22"/>
        <v>974.80874831779715</v>
      </c>
      <c r="F738">
        <f>Data_inputs!G738-Data_inputs!H738</f>
        <v>256.85924226115822</v>
      </c>
      <c r="G738">
        <f t="shared" si="23"/>
        <v>546.92948941004113</v>
      </c>
    </row>
    <row r="739" spans="1:7" x14ac:dyDescent="0.3">
      <c r="A739">
        <f>Data_inputs!A739</f>
        <v>736</v>
      </c>
      <c r="B739">
        <f>Data_inputs!B739-Data_inputs!C739</f>
        <v>1074.3873762115838</v>
      </c>
      <c r="C739">
        <f>Data_inputs!B739*K_factor</f>
        <v>4939.621953640255</v>
      </c>
      <c r="D739">
        <f>Data_inputs!C739*K_factor</f>
        <v>2651.9326576384137</v>
      </c>
      <c r="E739">
        <f t="shared" si="22"/>
        <v>2287.6892960018413</v>
      </c>
      <c r="F739">
        <f>Data_inputs!G739-Data_inputs!H739</f>
        <v>30.806524011644115</v>
      </c>
      <c r="G739">
        <f t="shared" si="23"/>
        <v>65.596224219394429</v>
      </c>
    </row>
    <row r="740" spans="1:7" x14ac:dyDescent="0.3">
      <c r="A740">
        <f>Data_inputs!A740</f>
        <v>737</v>
      </c>
      <c r="B740">
        <f>Data_inputs!B740-Data_inputs!C740</f>
        <v>447.27551619237374</v>
      </c>
      <c r="C740">
        <f>Data_inputs!B740*K_factor</f>
        <v>2270.3604737007686</v>
      </c>
      <c r="D740">
        <f>Data_inputs!C740*K_factor</f>
        <v>1317.978275796497</v>
      </c>
      <c r="E740">
        <f t="shared" si="22"/>
        <v>952.38219790427161</v>
      </c>
      <c r="F740">
        <f>Data_inputs!G740-Data_inputs!H740</f>
        <v>429.94006277790504</v>
      </c>
      <c r="G740">
        <f t="shared" si="23"/>
        <v>915.46987736169592</v>
      </c>
    </row>
    <row r="741" spans="1:7" x14ac:dyDescent="0.3">
      <c r="A741">
        <f>Data_inputs!A741</f>
        <v>738</v>
      </c>
      <c r="B741">
        <f>Data_inputs!B741-Data_inputs!C741</f>
        <v>-90.477306240002918</v>
      </c>
      <c r="C741">
        <f>Data_inputs!B741*K_factor</f>
        <v>1888.7780601515733</v>
      </c>
      <c r="D741">
        <f>Data_inputs!C741*K_factor</f>
        <v>2081.4310730212746</v>
      </c>
      <c r="E741">
        <f t="shared" si="22"/>
        <v>-192.65301286970134</v>
      </c>
      <c r="F741">
        <f>Data_inputs!G741-Data_inputs!H741</f>
        <v>79.772962333963278</v>
      </c>
      <c r="G741">
        <f t="shared" si="23"/>
        <v>169.86029069446747</v>
      </c>
    </row>
    <row r="742" spans="1:7" x14ac:dyDescent="0.3">
      <c r="A742">
        <f>Data_inputs!A742</f>
        <v>739</v>
      </c>
      <c r="B742">
        <f>Data_inputs!B742-Data_inputs!C742</f>
        <v>514.76498071877404</v>
      </c>
      <c r="C742">
        <f>Data_inputs!B742*K_factor</f>
        <v>3253.638983664473</v>
      </c>
      <c r="D742">
        <f>Data_inputs!C742*K_factor</f>
        <v>2157.55170414024</v>
      </c>
      <c r="E742">
        <f t="shared" si="22"/>
        <v>1096.0872795242331</v>
      </c>
      <c r="F742">
        <f>Data_inputs!G742-Data_inputs!H742</f>
        <v>166.5667909048102</v>
      </c>
      <c r="G742">
        <f t="shared" si="23"/>
        <v>354.67008739989944</v>
      </c>
    </row>
    <row r="743" spans="1:7" x14ac:dyDescent="0.3">
      <c r="A743">
        <f>Data_inputs!A743</f>
        <v>740</v>
      </c>
      <c r="B743">
        <f>Data_inputs!B743-Data_inputs!C743</f>
        <v>362.48556613231017</v>
      </c>
      <c r="C743">
        <f>Data_inputs!B743*K_factor</f>
        <v>2126.4177488382306</v>
      </c>
      <c r="D743">
        <f>Data_inputs!C743*K_factor</f>
        <v>1354.5784961097579</v>
      </c>
      <c r="E743">
        <f t="shared" si="22"/>
        <v>771.83925272847273</v>
      </c>
      <c r="F743">
        <f>Data_inputs!G743-Data_inputs!H743</f>
        <v>346.01880992190399</v>
      </c>
      <c r="G743">
        <f t="shared" si="23"/>
        <v>736.77664611515809</v>
      </c>
    </row>
    <row r="744" spans="1:7" x14ac:dyDescent="0.3">
      <c r="A744">
        <f>Data_inputs!A744</f>
        <v>741</v>
      </c>
      <c r="B744">
        <f>Data_inputs!B744-Data_inputs!C744</f>
        <v>313.95569932533738</v>
      </c>
      <c r="C744">
        <f>Data_inputs!B744*K_factor</f>
        <v>2311.7938553565896</v>
      </c>
      <c r="D744">
        <f>Data_inputs!C744*K_factor</f>
        <v>1643.2890788969842</v>
      </c>
      <c r="E744">
        <f t="shared" si="22"/>
        <v>668.50477645960541</v>
      </c>
      <c r="F744">
        <f>Data_inputs!G744-Data_inputs!H744</f>
        <v>307.64729850168305</v>
      </c>
      <c r="G744">
        <f t="shared" si="23"/>
        <v>655.07232057013744</v>
      </c>
    </row>
    <row r="745" spans="1:7" x14ac:dyDescent="0.3">
      <c r="A745">
        <f>Data_inputs!A745</f>
        <v>742</v>
      </c>
      <c r="B745">
        <f>Data_inputs!B745-Data_inputs!C745</f>
        <v>319.08153044622088</v>
      </c>
      <c r="C745">
        <f>Data_inputs!B745*K_factor</f>
        <v>2191.1965822310472</v>
      </c>
      <c r="D745">
        <f>Data_inputs!C745*K_factor</f>
        <v>1511.7773914289107</v>
      </c>
      <c r="E745">
        <f t="shared" si="22"/>
        <v>679.41919080213643</v>
      </c>
      <c r="F745">
        <f>Data_inputs!G745-Data_inputs!H745</f>
        <v>268.76200745898905</v>
      </c>
      <c r="G745">
        <f t="shared" si="23"/>
        <v>572.27400586547128</v>
      </c>
    </row>
    <row r="746" spans="1:7" x14ac:dyDescent="0.3">
      <c r="A746">
        <f>Data_inputs!A746</f>
        <v>743</v>
      </c>
      <c r="B746">
        <f>Data_inputs!B746-Data_inputs!C746</f>
        <v>277.60241171827084</v>
      </c>
      <c r="C746">
        <f>Data_inputs!B746*K_factor</f>
        <v>1400.3208632692683</v>
      </c>
      <c r="D746">
        <f>Data_inputs!C746*K_factor</f>
        <v>809.22301542270395</v>
      </c>
      <c r="E746">
        <f t="shared" si="22"/>
        <v>591.09784784656438</v>
      </c>
      <c r="F746">
        <f>Data_inputs!G746-Data_inputs!H746</f>
        <v>215.38873245051695</v>
      </c>
      <c r="G746">
        <f t="shared" si="23"/>
        <v>458.62647739209291</v>
      </c>
    </row>
    <row r="747" spans="1:7" x14ac:dyDescent="0.3">
      <c r="A747">
        <f>Data_inputs!A747</f>
        <v>744</v>
      </c>
      <c r="B747">
        <f>Data_inputs!B747-Data_inputs!C747</f>
        <v>885.40627727730805</v>
      </c>
      <c r="C747">
        <f>Data_inputs!B747*K_factor</f>
        <v>3562.3369000364964</v>
      </c>
      <c r="D747">
        <f>Data_inputs!C747*K_factor</f>
        <v>1677.0443994093876</v>
      </c>
      <c r="E747">
        <f t="shared" si="22"/>
        <v>1885.2925006271089</v>
      </c>
      <c r="F747">
        <f>Data_inputs!G747-Data_inputs!H747</f>
        <v>72.107401482825026</v>
      </c>
      <c r="G747">
        <f t="shared" si="23"/>
        <v>153.53803868808666</v>
      </c>
    </row>
    <row r="748" spans="1:7" x14ac:dyDescent="0.3">
      <c r="A748">
        <f>Data_inputs!A748</f>
        <v>745</v>
      </c>
      <c r="B748">
        <f>Data_inputs!B748-Data_inputs!C748</f>
        <v>411.22218281284404</v>
      </c>
      <c r="C748">
        <f>Data_inputs!B748*K_factor</f>
        <v>2159.3660194218851</v>
      </c>
      <c r="D748">
        <f>Data_inputs!C748*K_factor</f>
        <v>1283.75205863928</v>
      </c>
      <c r="E748">
        <f t="shared" si="22"/>
        <v>875.61396078260509</v>
      </c>
      <c r="F748">
        <f>Data_inputs!G748-Data_inputs!H748</f>
        <v>253.12288470623525</v>
      </c>
      <c r="G748">
        <f t="shared" si="23"/>
        <v>538.97367628929067</v>
      </c>
    </row>
    <row r="749" spans="1:7" x14ac:dyDescent="0.3">
      <c r="A749">
        <f>Data_inputs!A749</f>
        <v>746</v>
      </c>
      <c r="B749">
        <f>Data_inputs!B749-Data_inputs!C749</f>
        <v>281.08174727676317</v>
      </c>
      <c r="C749">
        <f>Data_inputs!B749*K_factor</f>
        <v>2059.9969962102214</v>
      </c>
      <c r="D749">
        <f>Data_inputs!C749*K_factor</f>
        <v>1461.4906112842025</v>
      </c>
      <c r="E749">
        <f t="shared" si="22"/>
        <v>598.50638492601888</v>
      </c>
      <c r="F749">
        <f>Data_inputs!G749-Data_inputs!H749</f>
        <v>208.20823274946997</v>
      </c>
      <c r="G749">
        <f t="shared" si="23"/>
        <v>443.33706440219697</v>
      </c>
    </row>
    <row r="750" spans="1:7" x14ac:dyDescent="0.3">
      <c r="A750">
        <f>Data_inputs!A750</f>
        <v>747</v>
      </c>
      <c r="B750">
        <f>Data_inputs!B750-Data_inputs!C750</f>
        <v>694.60240322828054</v>
      </c>
      <c r="C750">
        <f>Data_inputs!B750*K_factor</f>
        <v>3188.0066272534796</v>
      </c>
      <c r="D750">
        <f>Data_inputs!C750*K_factor</f>
        <v>1708.9921507006979</v>
      </c>
      <c r="E750">
        <f t="shared" si="22"/>
        <v>1479.0144765527816</v>
      </c>
      <c r="F750">
        <f>Data_inputs!G750-Data_inputs!H750</f>
        <v>354.18840418192303</v>
      </c>
      <c r="G750">
        <f t="shared" si="23"/>
        <v>754.17213470254728</v>
      </c>
    </row>
    <row r="751" spans="1:7" x14ac:dyDescent="0.3">
      <c r="A751">
        <f>Data_inputs!A751</f>
        <v>748</v>
      </c>
      <c r="B751">
        <f>Data_inputs!B751-Data_inputs!C751</f>
        <v>328.43702437753529</v>
      </c>
      <c r="C751">
        <f>Data_inputs!B751*K_factor</f>
        <v>1924.1387225993194</v>
      </c>
      <c r="D751">
        <f>Data_inputs!C751*K_factor</f>
        <v>1224.7989111724823</v>
      </c>
      <c r="E751">
        <f t="shared" si="22"/>
        <v>699.33981142683706</v>
      </c>
      <c r="F751">
        <f>Data_inputs!G751-Data_inputs!H751</f>
        <v>282.99121637269491</v>
      </c>
      <c r="G751">
        <f t="shared" si="23"/>
        <v>602.57221081761907</v>
      </c>
    </row>
    <row r="752" spans="1:7" x14ac:dyDescent="0.3">
      <c r="A752">
        <f>Data_inputs!A752</f>
        <v>749</v>
      </c>
      <c r="B752">
        <f>Data_inputs!B752-Data_inputs!C752</f>
        <v>319.18229149836799</v>
      </c>
      <c r="C752">
        <f>Data_inputs!B752*K_factor</f>
        <v>1633.0713832072674</v>
      </c>
      <c r="D752">
        <f>Data_inputs!C752*K_factor</f>
        <v>953.43764224793938</v>
      </c>
      <c r="E752">
        <f t="shared" si="22"/>
        <v>679.63374095932807</v>
      </c>
      <c r="F752">
        <f>Data_inputs!G752-Data_inputs!H752</f>
        <v>302.33042009313499</v>
      </c>
      <c r="G752">
        <f t="shared" si="23"/>
        <v>643.75110990376857</v>
      </c>
    </row>
    <row r="753" spans="1:7" x14ac:dyDescent="0.3">
      <c r="A753">
        <f>Data_inputs!A753</f>
        <v>750</v>
      </c>
      <c r="B753">
        <f>Data_inputs!B753-Data_inputs!C753</f>
        <v>1094.1170627530196</v>
      </c>
      <c r="C753">
        <f>Data_inputs!B753*K_factor</f>
        <v>4252.8705589903402</v>
      </c>
      <c r="D753">
        <f>Data_inputs!C753*K_factor</f>
        <v>1923.1709101924091</v>
      </c>
      <c r="E753">
        <f t="shared" si="22"/>
        <v>2329.6996487979313</v>
      </c>
      <c r="F753">
        <f>Data_inputs!G753-Data_inputs!H753</f>
        <v>122.04385147406992</v>
      </c>
      <c r="G753">
        <f t="shared" si="23"/>
        <v>259.86754762937989</v>
      </c>
    </row>
    <row r="754" spans="1:7" x14ac:dyDescent="0.3">
      <c r="A754">
        <f>Data_inputs!A754</f>
        <v>751</v>
      </c>
      <c r="B754">
        <f>Data_inputs!B754-Data_inputs!C754</f>
        <v>58.045099003909229</v>
      </c>
      <c r="C754">
        <f>Data_inputs!B754*K_factor</f>
        <v>1087.3831959300567</v>
      </c>
      <c r="D754">
        <f>Data_inputs!C754*K_factor</f>
        <v>963.78796890417664</v>
      </c>
      <c r="E754">
        <f t="shared" si="22"/>
        <v>123.59522702588004</v>
      </c>
      <c r="F754">
        <f>Data_inputs!G754-Data_inputs!H754</f>
        <v>115.87714027579</v>
      </c>
      <c r="G754">
        <f t="shared" si="23"/>
        <v>246.73679096544325</v>
      </c>
    </row>
    <row r="755" spans="1:7" x14ac:dyDescent="0.3">
      <c r="A755">
        <f>Data_inputs!A755</f>
        <v>752</v>
      </c>
      <c r="B755">
        <f>Data_inputs!B755-Data_inputs!C755</f>
        <v>470.6679221903579</v>
      </c>
      <c r="C755">
        <f>Data_inputs!B755*K_factor</f>
        <v>2061.9302451859999</v>
      </c>
      <c r="D755">
        <f>Data_inputs!C755*K_factor</f>
        <v>1059.7386787111334</v>
      </c>
      <c r="E755">
        <f t="shared" si="22"/>
        <v>1002.1915664748665</v>
      </c>
      <c r="F755">
        <f>Data_inputs!G755-Data_inputs!H755</f>
        <v>382.85585893578104</v>
      </c>
      <c r="G755">
        <f t="shared" si="23"/>
        <v>815.21364620584575</v>
      </c>
    </row>
    <row r="756" spans="1:7" x14ac:dyDescent="0.3">
      <c r="A756">
        <f>Data_inputs!A756</f>
        <v>753</v>
      </c>
      <c r="B756">
        <f>Data_inputs!B756-Data_inputs!C756</f>
        <v>301.36637764098975</v>
      </c>
      <c r="C756">
        <f>Data_inputs!B756*K_factor</f>
        <v>2435.2591920732771</v>
      </c>
      <c r="D756">
        <f>Data_inputs!C756*K_factor</f>
        <v>1793.5608144032406</v>
      </c>
      <c r="E756">
        <f t="shared" si="22"/>
        <v>641.69837767003651</v>
      </c>
      <c r="F756">
        <f>Data_inputs!G756-Data_inputs!H756</f>
        <v>331.92801759920803</v>
      </c>
      <c r="G756">
        <f t="shared" si="23"/>
        <v>706.77317112787546</v>
      </c>
    </row>
    <row r="757" spans="1:7" x14ac:dyDescent="0.3">
      <c r="A757">
        <f>Data_inputs!A757</f>
        <v>754</v>
      </c>
      <c r="B757">
        <f>Data_inputs!B757-Data_inputs!C757</f>
        <v>361.0740250479854</v>
      </c>
      <c r="C757">
        <f>Data_inputs!B757*K_factor</f>
        <v>2292.3392913568387</v>
      </c>
      <c r="D757">
        <f>Data_inputs!C757*K_factor</f>
        <v>1523.505628140096</v>
      </c>
      <c r="E757">
        <f t="shared" si="22"/>
        <v>768.83366321674271</v>
      </c>
      <c r="F757">
        <f>Data_inputs!G757-Data_inputs!H757</f>
        <v>419.27039720675111</v>
      </c>
      <c r="G757">
        <f t="shared" si="23"/>
        <v>892.75099564408231</v>
      </c>
    </row>
    <row r="758" spans="1:7" x14ac:dyDescent="0.3">
      <c r="A758">
        <f>Data_inputs!A758</f>
        <v>755</v>
      </c>
      <c r="B758">
        <f>Data_inputs!B758-Data_inputs!C758</f>
        <v>652.35461362749606</v>
      </c>
      <c r="C758">
        <f>Data_inputs!B758*K_factor</f>
        <v>3329.6075718620705</v>
      </c>
      <c r="D758">
        <f>Data_inputs!C758*K_factor</f>
        <v>1940.5511664756232</v>
      </c>
      <c r="E758">
        <f t="shared" si="22"/>
        <v>1389.0564053864473</v>
      </c>
      <c r="F758">
        <f>Data_inputs!G758-Data_inputs!H758</f>
        <v>500.04992244856885</v>
      </c>
      <c r="G758">
        <f t="shared" si="23"/>
        <v>1064.7545572304423</v>
      </c>
    </row>
    <row r="759" spans="1:7" x14ac:dyDescent="0.3">
      <c r="A759">
        <f>Data_inputs!A759</f>
        <v>756</v>
      </c>
      <c r="B759">
        <f>Data_inputs!B759-Data_inputs!C759</f>
        <v>688.67064031153291</v>
      </c>
      <c r="C759">
        <f>Data_inputs!B759*K_factor</f>
        <v>4892.4801167373771</v>
      </c>
      <c r="D759">
        <f>Data_inputs!C759*K_factor</f>
        <v>3426.0961222914443</v>
      </c>
      <c r="E759">
        <f t="shared" si="22"/>
        <v>1466.3839944459328</v>
      </c>
      <c r="F759">
        <f>Data_inputs!G759-Data_inputs!H759</f>
        <v>1124.2946155153586</v>
      </c>
      <c r="G759">
        <f t="shared" si="23"/>
        <v>2393.9566067281012</v>
      </c>
    </row>
    <row r="760" spans="1:7" x14ac:dyDescent="0.3">
      <c r="A760">
        <f>Data_inputs!A760</f>
        <v>757</v>
      </c>
      <c r="B760">
        <f>Data_inputs!B760-Data_inputs!C760</f>
        <v>293.43551825861437</v>
      </c>
      <c r="C760">
        <f>Data_inputs!B760*K_factor</f>
        <v>1883.8213196389058</v>
      </c>
      <c r="D760">
        <f>Data_inputs!C760*K_factor</f>
        <v>1259.0100932132661</v>
      </c>
      <c r="E760">
        <f t="shared" si="22"/>
        <v>624.81122642563969</v>
      </c>
      <c r="F760">
        <f>Data_inputs!G760-Data_inputs!H760</f>
        <v>249.63808627585286</v>
      </c>
      <c r="G760">
        <f t="shared" si="23"/>
        <v>531.5535071357582</v>
      </c>
    </row>
    <row r="761" spans="1:7" x14ac:dyDescent="0.3">
      <c r="A761">
        <f>Data_inputs!A761</f>
        <v>758</v>
      </c>
      <c r="B761">
        <f>Data_inputs!B761-Data_inputs!C761</f>
        <v>414.48429165121888</v>
      </c>
      <c r="C761">
        <f>Data_inputs!B761*K_factor</f>
        <v>1740.2881062072795</v>
      </c>
      <c r="D761">
        <f>Data_inputs!C761*K_factor</f>
        <v>857.72814844334607</v>
      </c>
      <c r="E761">
        <f t="shared" si="22"/>
        <v>882.55995776393343</v>
      </c>
      <c r="F761">
        <f>Data_inputs!G761-Data_inputs!H761</f>
        <v>345.59712162410801</v>
      </c>
      <c r="G761">
        <f t="shared" si="23"/>
        <v>735.8787466922156</v>
      </c>
    </row>
    <row r="762" spans="1:7" x14ac:dyDescent="0.3">
      <c r="A762">
        <f>Data_inputs!A762</f>
        <v>759</v>
      </c>
      <c r="B762">
        <f>Data_inputs!B762-Data_inputs!C762</f>
        <v>551.69198098754384</v>
      </c>
      <c r="C762">
        <f>Data_inputs!B762*K_factor</f>
        <v>2434.9103425750363</v>
      </c>
      <c r="D762">
        <f>Data_inputs!C762*K_factor</f>
        <v>1260.1945300665466</v>
      </c>
      <c r="E762">
        <f t="shared" si="22"/>
        <v>1174.7158125084898</v>
      </c>
      <c r="F762">
        <f>Data_inputs!G762-Data_inputs!H762</f>
        <v>464.33514436565292</v>
      </c>
      <c r="G762">
        <f t="shared" si="23"/>
        <v>988.70720472201378</v>
      </c>
    </row>
    <row r="763" spans="1:7" x14ac:dyDescent="0.3">
      <c r="A763">
        <f>Data_inputs!A763</f>
        <v>760</v>
      </c>
      <c r="B763">
        <f>Data_inputs!B763-Data_inputs!C763</f>
        <v>81.832298450069516</v>
      </c>
      <c r="C763">
        <f>Data_inputs!B763*K_factor</f>
        <v>1835.8084597105278</v>
      </c>
      <c r="D763">
        <f>Data_inputs!C763*K_factor</f>
        <v>1661.5632318006788</v>
      </c>
      <c r="E763">
        <f t="shared" si="22"/>
        <v>174.24522790984906</v>
      </c>
      <c r="F763">
        <f>Data_inputs!G763-Data_inputs!H763</f>
        <v>163.45256706639498</v>
      </c>
      <c r="G763">
        <f t="shared" si="23"/>
        <v>348.03898143361596</v>
      </c>
    </row>
    <row r="764" spans="1:7" x14ac:dyDescent="0.3">
      <c r="A764">
        <f>Data_inputs!A764</f>
        <v>761</v>
      </c>
      <c r="B764">
        <f>Data_inputs!B764-Data_inputs!C764</f>
        <v>231.87976916005277</v>
      </c>
      <c r="C764">
        <f>Data_inputs!B764*K_factor</f>
        <v>2151.9434000696806</v>
      </c>
      <c r="D764">
        <f>Data_inputs!C764*K_factor</f>
        <v>1658.2026156820921</v>
      </c>
      <c r="E764">
        <f t="shared" si="22"/>
        <v>493.74078438758852</v>
      </c>
      <c r="F764">
        <f>Data_inputs!G764-Data_inputs!H764</f>
        <v>260.98189521604309</v>
      </c>
      <c r="G764">
        <f t="shared" si="23"/>
        <v>555.70783997971796</v>
      </c>
    </row>
    <row r="765" spans="1:7" x14ac:dyDescent="0.3">
      <c r="A765">
        <f>Data_inputs!A765</f>
        <v>762</v>
      </c>
      <c r="B765">
        <f>Data_inputs!B765-Data_inputs!C765</f>
        <v>249.44376016003025</v>
      </c>
      <c r="C765">
        <f>Data_inputs!B765*K_factor</f>
        <v>1654.0054019184206</v>
      </c>
      <c r="D765">
        <f>Data_inputs!C765*K_factor</f>
        <v>1122.8656727038704</v>
      </c>
      <c r="E765">
        <f t="shared" si="22"/>
        <v>531.13972921455024</v>
      </c>
      <c r="F765">
        <f>Data_inputs!G765-Data_inputs!H765</f>
        <v>154.80461900974706</v>
      </c>
      <c r="G765">
        <f t="shared" si="23"/>
        <v>329.62493577409469</v>
      </c>
    </row>
    <row r="766" spans="1:7" x14ac:dyDescent="0.3">
      <c r="A766">
        <f>Data_inputs!A766</f>
        <v>763</v>
      </c>
      <c r="B766">
        <f>Data_inputs!B766-Data_inputs!C766</f>
        <v>307.34491585616786</v>
      </c>
      <c r="C766">
        <f>Data_inputs!B766*K_factor</f>
        <v>2205.8097703436997</v>
      </c>
      <c r="D766">
        <f>Data_inputs!C766*K_factor</f>
        <v>1551.3813120868754</v>
      </c>
      <c r="E766">
        <f t="shared" si="22"/>
        <v>654.42845825682434</v>
      </c>
      <c r="F766">
        <f>Data_inputs!G766-Data_inputs!H766</f>
        <v>217.05035063737409</v>
      </c>
      <c r="G766">
        <f t="shared" si="23"/>
        <v>462.16455520674373</v>
      </c>
    </row>
    <row r="767" spans="1:7" x14ac:dyDescent="0.3">
      <c r="A767">
        <f>Data_inputs!A767</f>
        <v>764</v>
      </c>
      <c r="B767">
        <f>Data_inputs!B767-Data_inputs!C767</f>
        <v>261.5296540711833</v>
      </c>
      <c r="C767">
        <f>Data_inputs!B767*K_factor</f>
        <v>1537.9410716566963</v>
      </c>
      <c r="D767">
        <f>Data_inputs!C767*K_factor</f>
        <v>981.06689065563</v>
      </c>
      <c r="E767">
        <f t="shared" si="22"/>
        <v>556.87418100106629</v>
      </c>
      <c r="F767">
        <f>Data_inputs!G767-Data_inputs!H767</f>
        <v>237.21199252229803</v>
      </c>
      <c r="G767">
        <f t="shared" si="23"/>
        <v>505.09466901038871</v>
      </c>
    </row>
    <row r="768" spans="1:7" x14ac:dyDescent="0.3">
      <c r="A768">
        <f>Data_inputs!A768</f>
        <v>765</v>
      </c>
      <c r="B768">
        <f>Data_inputs!B768-Data_inputs!C768</f>
        <v>634.89369707728474</v>
      </c>
      <c r="C768">
        <f>Data_inputs!B768*K_factor</f>
        <v>3225.9139053365589</v>
      </c>
      <c r="D768">
        <f>Data_inputs!C768*K_factor</f>
        <v>1874.0369687103932</v>
      </c>
      <c r="E768">
        <f t="shared" si="22"/>
        <v>1351.8769366261656</v>
      </c>
      <c r="F768">
        <f>Data_inputs!G768-Data_inputs!H768</f>
        <v>392.02574720501207</v>
      </c>
      <c r="G768">
        <f t="shared" si="23"/>
        <v>834.73905734109485</v>
      </c>
    </row>
    <row r="769" spans="1:7" x14ac:dyDescent="0.3">
      <c r="A769">
        <f>Data_inputs!A769</f>
        <v>766</v>
      </c>
      <c r="B769">
        <f>Data_inputs!B769-Data_inputs!C769</f>
        <v>1036.3103181692045</v>
      </c>
      <c r="C769">
        <f>Data_inputs!B769*K_factor</f>
        <v>4328.9508025317473</v>
      </c>
      <c r="D769">
        <f>Data_inputs!C769*K_factor</f>
        <v>2122.3388535236381</v>
      </c>
      <c r="E769">
        <f t="shared" si="22"/>
        <v>2206.6119490081091</v>
      </c>
      <c r="F769">
        <f>Data_inputs!G769-Data_inputs!H769</f>
        <v>176.61605384767199</v>
      </c>
      <c r="G769">
        <f t="shared" si="23"/>
        <v>376.06794796315074</v>
      </c>
    </row>
    <row r="770" spans="1:7" x14ac:dyDescent="0.3">
      <c r="A770">
        <f>Data_inputs!A770</f>
        <v>767</v>
      </c>
      <c r="B770">
        <f>Data_inputs!B770-Data_inputs!C770</f>
        <v>401.35497578190473</v>
      </c>
      <c r="C770">
        <f>Data_inputs!B770*K_factor</f>
        <v>2147.1481549526929</v>
      </c>
      <c r="D770">
        <f>Data_inputs!C770*K_factor</f>
        <v>1292.5444037145353</v>
      </c>
      <c r="E770">
        <f t="shared" si="22"/>
        <v>854.60375123815766</v>
      </c>
      <c r="F770">
        <f>Data_inputs!G770-Data_inputs!H770</f>
        <v>274.0913474369911</v>
      </c>
      <c r="G770">
        <f t="shared" si="23"/>
        <v>583.62175090825087</v>
      </c>
    </row>
    <row r="771" spans="1:7" x14ac:dyDescent="0.3">
      <c r="A771">
        <f>Data_inputs!A771</f>
        <v>768</v>
      </c>
      <c r="B771">
        <f>Data_inputs!B771-Data_inputs!C771</f>
        <v>827.55130356403197</v>
      </c>
      <c r="C771">
        <f>Data_inputs!B771*K_factor</f>
        <v>3906.0551365879646</v>
      </c>
      <c r="D771">
        <f>Data_inputs!C771*K_factor</f>
        <v>2143.9530298679638</v>
      </c>
      <c r="E771">
        <f t="shared" si="22"/>
        <v>1762.1021067200008</v>
      </c>
      <c r="F771">
        <f>Data_inputs!G771-Data_inputs!H771</f>
        <v>447.42211332220177</v>
      </c>
      <c r="G771">
        <f t="shared" si="23"/>
        <v>952.69434666193331</v>
      </c>
    </row>
    <row r="772" spans="1:7" x14ac:dyDescent="0.3">
      <c r="A772">
        <f>Data_inputs!A772</f>
        <v>769</v>
      </c>
      <c r="B772">
        <f>Data_inputs!B772-Data_inputs!C772</f>
        <v>-260.82614022674397</v>
      </c>
      <c r="C772">
        <f>Data_inputs!B772*K_factor</f>
        <v>2182.6998698474117</v>
      </c>
      <c r="D772">
        <f>Data_inputs!C772*K_factor</f>
        <v>2738.0760612712102</v>
      </c>
      <c r="E772">
        <f t="shared" ref="E772:E835" si="24">C772-D772</f>
        <v>-555.37619142379845</v>
      </c>
      <c r="F772">
        <f>Data_inputs!G772-Data_inputs!H772</f>
        <v>247.36840629041694</v>
      </c>
      <c r="G772">
        <f t="shared" ref="G772:G835" si="25">F772*K_factor</f>
        <v>526.72068545244679</v>
      </c>
    </row>
    <row r="773" spans="1:7" x14ac:dyDescent="0.3">
      <c r="A773">
        <f>Data_inputs!A773</f>
        <v>770</v>
      </c>
      <c r="B773">
        <f>Data_inputs!B773-Data_inputs!C773</f>
        <v>466.16812524221291</v>
      </c>
      <c r="C773">
        <f>Data_inputs!B773*K_factor</f>
        <v>3219.3821861451129</v>
      </c>
      <c r="D773">
        <f>Data_inputs!C773*K_factor</f>
        <v>2226.772021630451</v>
      </c>
      <c r="E773">
        <f t="shared" si="24"/>
        <v>992.61016451466185</v>
      </c>
      <c r="F773">
        <f>Data_inputs!G773-Data_inputs!H773</f>
        <v>249.01770563431319</v>
      </c>
      <c r="G773">
        <f t="shared" si="25"/>
        <v>530.23253279771131</v>
      </c>
    </row>
    <row r="774" spans="1:7" x14ac:dyDescent="0.3">
      <c r="A774">
        <f>Data_inputs!A774</f>
        <v>771</v>
      </c>
      <c r="B774">
        <f>Data_inputs!B774-Data_inputs!C774</f>
        <v>904.25240541830772</v>
      </c>
      <c r="C774">
        <f>Data_inputs!B774*K_factor</f>
        <v>3457.2505484839662</v>
      </c>
      <c r="D774">
        <f>Data_inputs!C774*K_factor</f>
        <v>1531.829052883676</v>
      </c>
      <c r="E774">
        <f t="shared" si="24"/>
        <v>1925.4214956002902</v>
      </c>
      <c r="F774">
        <f>Data_inputs!G774-Data_inputs!H774</f>
        <v>116.07757400241303</v>
      </c>
      <c r="G774">
        <f t="shared" si="25"/>
        <v>247.16357380104404</v>
      </c>
    </row>
    <row r="775" spans="1:7" x14ac:dyDescent="0.3">
      <c r="A775">
        <f>Data_inputs!A775</f>
        <v>772</v>
      </c>
      <c r="B775">
        <f>Data_inputs!B775-Data_inputs!C775</f>
        <v>416.86245803883833</v>
      </c>
      <c r="C775">
        <f>Data_inputs!B775*K_factor</f>
        <v>1692.3194006470931</v>
      </c>
      <c r="D775">
        <f>Data_inputs!C775*K_factor</f>
        <v>804.69562148174657</v>
      </c>
      <c r="E775">
        <f t="shared" si="24"/>
        <v>887.62377916534649</v>
      </c>
      <c r="F775">
        <f>Data_inputs!G775-Data_inputs!H775</f>
        <v>340.28271655376614</v>
      </c>
      <c r="G775">
        <f t="shared" si="25"/>
        <v>724.56280249626968</v>
      </c>
    </row>
    <row r="776" spans="1:7" x14ac:dyDescent="0.3">
      <c r="A776">
        <f>Data_inputs!A776</f>
        <v>773</v>
      </c>
      <c r="B776">
        <f>Data_inputs!B776-Data_inputs!C776</f>
        <v>99.957292073194026</v>
      </c>
      <c r="C776">
        <f>Data_inputs!B776*K_factor</f>
        <v>1773.9005008343063</v>
      </c>
      <c r="D776">
        <f>Data_inputs!C776*K_factor</f>
        <v>1561.0617871670838</v>
      </c>
      <c r="E776">
        <f t="shared" si="24"/>
        <v>212.83871366722246</v>
      </c>
      <c r="F776">
        <f>Data_inputs!G776-Data_inputs!H776</f>
        <v>387.39819880032735</v>
      </c>
      <c r="G776">
        <f t="shared" si="25"/>
        <v>824.8856346496849</v>
      </c>
    </row>
    <row r="777" spans="1:7" x14ac:dyDescent="0.3">
      <c r="A777">
        <f>Data_inputs!A777</f>
        <v>774</v>
      </c>
      <c r="B777">
        <f>Data_inputs!B777-Data_inputs!C777</f>
        <v>149.56264393084416</v>
      </c>
      <c r="C777">
        <f>Data_inputs!B777*K_factor</f>
        <v>1486.5377348834045</v>
      </c>
      <c r="D777">
        <f>Data_inputs!C777*K_factor</f>
        <v>1168.0745183768981</v>
      </c>
      <c r="E777">
        <f t="shared" si="24"/>
        <v>318.46321650650634</v>
      </c>
      <c r="F777">
        <f>Data_inputs!G777-Data_inputs!H777</f>
        <v>190.50327469304011</v>
      </c>
      <c r="G777">
        <f t="shared" si="25"/>
        <v>405.63795891319165</v>
      </c>
    </row>
    <row r="778" spans="1:7" x14ac:dyDescent="0.3">
      <c r="A778">
        <f>Data_inputs!A778</f>
        <v>775</v>
      </c>
      <c r="B778">
        <f>Data_inputs!B778-Data_inputs!C778</f>
        <v>649.10558334313691</v>
      </c>
      <c r="C778">
        <f>Data_inputs!B778*K_factor</f>
        <v>3598.8845558732073</v>
      </c>
      <c r="D778">
        <f>Data_inputs!C778*K_factor</f>
        <v>2216.7462993486006</v>
      </c>
      <c r="E778">
        <f t="shared" si="24"/>
        <v>1382.1382565246067</v>
      </c>
      <c r="F778">
        <f>Data_inputs!G778-Data_inputs!H778</f>
        <v>253.16284149026524</v>
      </c>
      <c r="G778">
        <f t="shared" si="25"/>
        <v>539.05875613027899</v>
      </c>
    </row>
    <row r="779" spans="1:7" x14ac:dyDescent="0.3">
      <c r="A779">
        <f>Data_inputs!A779</f>
        <v>776</v>
      </c>
      <c r="B779">
        <f>Data_inputs!B779-Data_inputs!C779</f>
        <v>254.92065261482901</v>
      </c>
      <c r="C779">
        <f>Data_inputs!B779*K_factor</f>
        <v>1674.5916196785843</v>
      </c>
      <c r="D779">
        <f>Data_inputs!C779*K_factor</f>
        <v>1131.7899624466215</v>
      </c>
      <c r="E779">
        <f t="shared" si="24"/>
        <v>542.80165723196274</v>
      </c>
      <c r="F779">
        <f>Data_inputs!G779-Data_inputs!H779</f>
        <v>231.14207016667615</v>
      </c>
      <c r="G779">
        <f t="shared" si="25"/>
        <v>492.17000449182143</v>
      </c>
    </row>
    <row r="780" spans="1:7" x14ac:dyDescent="0.3">
      <c r="A780">
        <f>Data_inputs!A780</f>
        <v>777</v>
      </c>
      <c r="B780">
        <f>Data_inputs!B780-Data_inputs!C780</f>
        <v>281.32116383638561</v>
      </c>
      <c r="C780">
        <f>Data_inputs!B780*K_factor</f>
        <v>1590.0437328214427</v>
      </c>
      <c r="D780">
        <f>Data_inputs!C780*K_factor</f>
        <v>991.02755904936987</v>
      </c>
      <c r="E780">
        <f t="shared" si="24"/>
        <v>599.01617377207288</v>
      </c>
      <c r="F780">
        <f>Data_inputs!G780-Data_inputs!H780</f>
        <v>162.83581242206787</v>
      </c>
      <c r="G780">
        <f t="shared" si="25"/>
        <v>346.72572791879742</v>
      </c>
    </row>
    <row r="781" spans="1:7" x14ac:dyDescent="0.3">
      <c r="A781">
        <f>Data_inputs!A781</f>
        <v>778</v>
      </c>
      <c r="B781">
        <f>Data_inputs!B781-Data_inputs!C781</f>
        <v>1197.1250613141856</v>
      </c>
      <c r="C781">
        <f>Data_inputs!B781*K_factor</f>
        <v>4171.9510499426797</v>
      </c>
      <c r="D781">
        <f>Data_inputs!C781*K_factor</f>
        <v>1622.9168287841876</v>
      </c>
      <c r="E781">
        <f t="shared" si="24"/>
        <v>2549.0342211584921</v>
      </c>
      <c r="F781">
        <f>Data_inputs!G781-Data_inputs!H781</f>
        <v>114.19258684845204</v>
      </c>
      <c r="G781">
        <f t="shared" si="25"/>
        <v>243.14987722316437</v>
      </c>
    </row>
    <row r="782" spans="1:7" x14ac:dyDescent="0.3">
      <c r="A782">
        <f>Data_inputs!A782</f>
        <v>779</v>
      </c>
      <c r="B782">
        <f>Data_inputs!B782-Data_inputs!C782</f>
        <v>444.1309055214922</v>
      </c>
      <c r="C782">
        <f>Data_inputs!B782*K_factor</f>
        <v>2406.7718009900973</v>
      </c>
      <c r="D782">
        <f>Data_inputs!C782*K_factor</f>
        <v>1461.0854116285841</v>
      </c>
      <c r="E782">
        <f t="shared" si="24"/>
        <v>945.68638936151319</v>
      </c>
      <c r="F782">
        <f>Data_inputs!G782-Data_inputs!H782</f>
        <v>468.59502596389166</v>
      </c>
      <c r="G782">
        <f t="shared" si="25"/>
        <v>997.77775576375166</v>
      </c>
    </row>
    <row r="783" spans="1:7" x14ac:dyDescent="0.3">
      <c r="A783">
        <f>Data_inputs!A783</f>
        <v>780</v>
      </c>
      <c r="B783">
        <f>Data_inputs!B783-Data_inputs!C783</f>
        <v>498.31938471059573</v>
      </c>
      <c r="C783">
        <f>Data_inputs!B783*K_factor</f>
        <v>2185.2275013582566</v>
      </c>
      <c r="D783">
        <f>Data_inputs!C783*K_factor</f>
        <v>1124.1577721024764</v>
      </c>
      <c r="E783">
        <f t="shared" si="24"/>
        <v>1061.0697292557802</v>
      </c>
      <c r="F783">
        <f>Data_inputs!G783-Data_inputs!H783</f>
        <v>316.22143662894223</v>
      </c>
      <c r="G783">
        <f t="shared" si="25"/>
        <v>673.3292030042337</v>
      </c>
    </row>
    <row r="784" spans="1:7" x14ac:dyDescent="0.3">
      <c r="A784">
        <f>Data_inputs!A784</f>
        <v>781</v>
      </c>
      <c r="B784">
        <f>Data_inputs!B784-Data_inputs!C784</f>
        <v>96.363442132255159</v>
      </c>
      <c r="C784">
        <f>Data_inputs!B784*K_factor</f>
        <v>1321.1629411773895</v>
      </c>
      <c r="D784">
        <f>Data_inputs!C784*K_factor</f>
        <v>1115.9765996650906</v>
      </c>
      <c r="E784">
        <f t="shared" si="24"/>
        <v>205.1863415122989</v>
      </c>
      <c r="F784">
        <f>Data_inputs!G784-Data_inputs!H784</f>
        <v>207.25343435532</v>
      </c>
      <c r="G784">
        <f t="shared" si="25"/>
        <v>441.30401550893964</v>
      </c>
    </row>
    <row r="785" spans="1:7" x14ac:dyDescent="0.3">
      <c r="A785">
        <f>Data_inputs!A785</f>
        <v>782</v>
      </c>
      <c r="B785">
        <f>Data_inputs!B785-Data_inputs!C785</f>
        <v>433.50010769261826</v>
      </c>
      <c r="C785">
        <f>Data_inputs!B785*K_factor</f>
        <v>2028.8311182109835</v>
      </c>
      <c r="D785">
        <f>Data_inputs!C785*K_factor</f>
        <v>1105.7808496188984</v>
      </c>
      <c r="E785">
        <f t="shared" si="24"/>
        <v>923.0502685920851</v>
      </c>
      <c r="F785">
        <f>Data_inputs!G785-Data_inputs!H785</f>
        <v>312.35065908222691</v>
      </c>
      <c r="G785">
        <f t="shared" si="25"/>
        <v>665.08716986340414</v>
      </c>
    </row>
    <row r="786" spans="1:7" x14ac:dyDescent="0.3">
      <c r="A786">
        <f>Data_inputs!A786</f>
        <v>783</v>
      </c>
      <c r="B786">
        <f>Data_inputs!B786-Data_inputs!C786</f>
        <v>439.04485820493335</v>
      </c>
      <c r="C786">
        <f>Data_inputs!B786*K_factor</f>
        <v>2353.8657821074635</v>
      </c>
      <c r="D786">
        <f>Data_inputs!C786*K_factor</f>
        <v>1419.0090955725771</v>
      </c>
      <c r="E786">
        <f t="shared" si="24"/>
        <v>934.85668653488642</v>
      </c>
      <c r="F786">
        <f>Data_inputs!G786-Data_inputs!H786</f>
        <v>222.29190138940908</v>
      </c>
      <c r="G786">
        <f t="shared" si="25"/>
        <v>473.32537095661098</v>
      </c>
    </row>
    <row r="787" spans="1:7" x14ac:dyDescent="0.3">
      <c r="A787">
        <f>Data_inputs!A787</f>
        <v>784</v>
      </c>
      <c r="B787">
        <f>Data_inputs!B787-Data_inputs!C787</f>
        <v>436.43017904259057</v>
      </c>
      <c r="C787">
        <f>Data_inputs!B787*K_factor</f>
        <v>2092.1022173148858</v>
      </c>
      <c r="D787">
        <f>Data_inputs!C787*K_factor</f>
        <v>1162.8129580084001</v>
      </c>
      <c r="E787">
        <f t="shared" si="24"/>
        <v>929.28925930648575</v>
      </c>
      <c r="F787">
        <f>Data_inputs!G787-Data_inputs!H787</f>
        <v>355.546234891121</v>
      </c>
      <c r="G787">
        <f t="shared" si="25"/>
        <v>757.06335889969671</v>
      </c>
    </row>
    <row r="788" spans="1:7" x14ac:dyDescent="0.3">
      <c r="A788">
        <f>Data_inputs!A788</f>
        <v>785</v>
      </c>
      <c r="B788">
        <f>Data_inputs!B788-Data_inputs!C788</f>
        <v>500.21970871666622</v>
      </c>
      <c r="C788">
        <f>Data_inputs!B788*K_factor</f>
        <v>2977.372842829343</v>
      </c>
      <c r="D788">
        <f>Data_inputs!C788*K_factor</f>
        <v>1912.2567602899344</v>
      </c>
      <c r="E788">
        <f t="shared" si="24"/>
        <v>1065.1160825394086</v>
      </c>
      <c r="F788">
        <f>Data_inputs!G788-Data_inputs!H788</f>
        <v>395.64006454881974</v>
      </c>
      <c r="G788">
        <f t="shared" si="25"/>
        <v>842.4350106656193</v>
      </c>
    </row>
    <row r="789" spans="1:7" x14ac:dyDescent="0.3">
      <c r="A789">
        <f>Data_inputs!A789</f>
        <v>786</v>
      </c>
      <c r="B789">
        <f>Data_inputs!B789-Data_inputs!C789</f>
        <v>102.4325045737599</v>
      </c>
      <c r="C789">
        <f>Data_inputs!B789*K_factor</f>
        <v>966.40777745257435</v>
      </c>
      <c r="D789">
        <f>Data_inputs!C789*K_factor</f>
        <v>748.29860243384098</v>
      </c>
      <c r="E789">
        <f t="shared" si="24"/>
        <v>218.10917501873337</v>
      </c>
      <c r="F789">
        <f>Data_inputs!G789-Data_inputs!H789</f>
        <v>254.01672446561611</v>
      </c>
      <c r="G789">
        <f t="shared" si="25"/>
        <v>540.87692617397067</v>
      </c>
    </row>
    <row r="790" spans="1:7" x14ac:dyDescent="0.3">
      <c r="A790">
        <f>Data_inputs!A790</f>
        <v>787</v>
      </c>
      <c r="B790">
        <f>Data_inputs!B790-Data_inputs!C790</f>
        <v>851.46206013593348</v>
      </c>
      <c r="C790">
        <f>Data_inputs!B790*K_factor</f>
        <v>3523.6802746889198</v>
      </c>
      <c r="D790">
        <f>Data_inputs!C790*K_factor</f>
        <v>1710.6650773276972</v>
      </c>
      <c r="E790">
        <f t="shared" si="24"/>
        <v>1813.0151973612226</v>
      </c>
      <c r="F790">
        <f>Data_inputs!G790-Data_inputs!H790</f>
        <v>630.94798497050306</v>
      </c>
      <c r="G790">
        <f t="shared" si="25"/>
        <v>1343.4753455877283</v>
      </c>
    </row>
    <row r="791" spans="1:7" x14ac:dyDescent="0.3">
      <c r="A791">
        <f>Data_inputs!A791</f>
        <v>788</v>
      </c>
      <c r="B791">
        <f>Data_inputs!B791-Data_inputs!C791</f>
        <v>475.74583896521904</v>
      </c>
      <c r="C791">
        <f>Data_inputs!B791*K_factor</f>
        <v>3309.1258275942646</v>
      </c>
      <c r="D791">
        <f>Data_inputs!C791*K_factor</f>
        <v>2296.1218706268737</v>
      </c>
      <c r="E791">
        <f t="shared" si="24"/>
        <v>1013.0039569673909</v>
      </c>
      <c r="F791">
        <f>Data_inputs!G791-Data_inputs!H791</f>
        <v>579.40340991076619</v>
      </c>
      <c r="G791">
        <f t="shared" si="25"/>
        <v>1233.7216615422994</v>
      </c>
    </row>
    <row r="792" spans="1:7" x14ac:dyDescent="0.3">
      <c r="A792">
        <f>Data_inputs!A792</f>
        <v>789</v>
      </c>
      <c r="B792">
        <f>Data_inputs!B792-Data_inputs!C792</f>
        <v>189.84382646560857</v>
      </c>
      <c r="C792">
        <f>Data_inputs!B792*K_factor</f>
        <v>1523.6135454204327</v>
      </c>
      <c r="D792">
        <f>Data_inputs!C792*K_factor</f>
        <v>1119.3797473197797</v>
      </c>
      <c r="E792">
        <f t="shared" si="24"/>
        <v>404.23379810065308</v>
      </c>
      <c r="F792">
        <f>Data_inputs!G792-Data_inputs!H792</f>
        <v>182.20605848045147</v>
      </c>
      <c r="G792">
        <f t="shared" si="25"/>
        <v>387.97072534694968</v>
      </c>
    </row>
    <row r="793" spans="1:7" x14ac:dyDescent="0.3">
      <c r="A793">
        <f>Data_inputs!A793</f>
        <v>790</v>
      </c>
      <c r="B793">
        <f>Data_inputs!B793-Data_inputs!C793</f>
        <v>387.96821700958708</v>
      </c>
      <c r="C793">
        <f>Data_inputs!B793*K_factor</f>
        <v>2172.2319336951518</v>
      </c>
      <c r="D793">
        <f>Data_inputs!C793*K_factor</f>
        <v>1346.132561258964</v>
      </c>
      <c r="E793">
        <f t="shared" si="24"/>
        <v>826.09937243618788</v>
      </c>
      <c r="F793">
        <f>Data_inputs!G793-Data_inputs!H793</f>
        <v>302.13319013631917</v>
      </c>
      <c r="G793">
        <f t="shared" si="25"/>
        <v>643.33114884405336</v>
      </c>
    </row>
    <row r="794" spans="1:7" x14ac:dyDescent="0.3">
      <c r="A794">
        <f>Data_inputs!A794</f>
        <v>791</v>
      </c>
      <c r="B794">
        <f>Data_inputs!B794-Data_inputs!C794</f>
        <v>439.69201305875606</v>
      </c>
      <c r="C794">
        <f>Data_inputs!B794*K_factor</f>
        <v>2495.7899988615359</v>
      </c>
      <c r="D794">
        <f>Data_inputs!C794*K_factor</f>
        <v>1559.5553277516942</v>
      </c>
      <c r="E794">
        <f t="shared" si="24"/>
        <v>936.23467110984166</v>
      </c>
      <c r="F794">
        <f>Data_inputs!G794-Data_inputs!H794</f>
        <v>523.49357690121678</v>
      </c>
      <c r="G794">
        <f t="shared" si="25"/>
        <v>1114.6730489569559</v>
      </c>
    </row>
    <row r="795" spans="1:7" x14ac:dyDescent="0.3">
      <c r="A795">
        <f>Data_inputs!A795</f>
        <v>792</v>
      </c>
      <c r="B795">
        <f>Data_inputs!B795-Data_inputs!C795</f>
        <v>661.79594362694581</v>
      </c>
      <c r="C795">
        <f>Data_inputs!B795*K_factor</f>
        <v>2509.2439036910628</v>
      </c>
      <c r="D795">
        <f>Data_inputs!C795*K_factor</f>
        <v>1100.0841072391672</v>
      </c>
      <c r="E795">
        <f t="shared" si="24"/>
        <v>1409.1597964518955</v>
      </c>
      <c r="F795">
        <f>Data_inputs!G795-Data_inputs!H795</f>
        <v>417.51576518732782</v>
      </c>
      <c r="G795">
        <f t="shared" si="25"/>
        <v>889.01486379989512</v>
      </c>
    </row>
    <row r="796" spans="1:7" x14ac:dyDescent="0.3">
      <c r="A796">
        <f>Data_inputs!A796</f>
        <v>793</v>
      </c>
      <c r="B796">
        <f>Data_inputs!B796-Data_inputs!C796</f>
        <v>286.93708788318554</v>
      </c>
      <c r="C796">
        <f>Data_inputs!B796*K_factor</f>
        <v>1798.7995960594712</v>
      </c>
      <c r="D796">
        <f>Data_inputs!C796*K_factor</f>
        <v>1187.8254547856532</v>
      </c>
      <c r="E796">
        <f t="shared" si="24"/>
        <v>610.97414127381808</v>
      </c>
      <c r="F796">
        <f>Data_inputs!G796-Data_inputs!H796</f>
        <v>240.26461696314891</v>
      </c>
      <c r="G796">
        <f t="shared" si="25"/>
        <v>511.59461159410807</v>
      </c>
    </row>
    <row r="797" spans="1:7" x14ac:dyDescent="0.3">
      <c r="A797">
        <f>Data_inputs!A797</f>
        <v>794</v>
      </c>
      <c r="B797">
        <f>Data_inputs!B797-Data_inputs!C797</f>
        <v>213.26907893082068</v>
      </c>
      <c r="C797">
        <f>Data_inputs!B797*K_factor</f>
        <v>1394.3645335317397</v>
      </c>
      <c r="D797">
        <f>Data_inputs!C797*K_factor</f>
        <v>940.25142699229059</v>
      </c>
      <c r="E797">
        <f t="shared" si="24"/>
        <v>454.11310653944906</v>
      </c>
      <c r="F797">
        <f>Data_inputs!G797-Data_inputs!H797</f>
        <v>168.08656934348357</v>
      </c>
      <c r="G797">
        <f t="shared" si="25"/>
        <v>357.90614633304421</v>
      </c>
    </row>
    <row r="798" spans="1:7" x14ac:dyDescent="0.3">
      <c r="A798">
        <f>Data_inputs!A798</f>
        <v>795</v>
      </c>
      <c r="B798">
        <f>Data_inputs!B798-Data_inputs!C798</f>
        <v>341.13884229782411</v>
      </c>
      <c r="C798">
        <f>Data_inputs!B798*K_factor</f>
        <v>1943.3149045222547</v>
      </c>
      <c r="D798">
        <f>Data_inputs!C798*K_factor</f>
        <v>1216.9291564627013</v>
      </c>
      <c r="E798">
        <f t="shared" si="24"/>
        <v>726.38574805955341</v>
      </c>
      <c r="F798">
        <f>Data_inputs!G798-Data_inputs!H798</f>
        <v>258.22753854259895</v>
      </c>
      <c r="G798">
        <f t="shared" si="25"/>
        <v>549.84299791369529</v>
      </c>
    </row>
    <row r="799" spans="1:7" x14ac:dyDescent="0.3">
      <c r="A799">
        <f>Data_inputs!A799</f>
        <v>796</v>
      </c>
      <c r="B799">
        <f>Data_inputs!B799-Data_inputs!C799</f>
        <v>230.58563796246904</v>
      </c>
      <c r="C799">
        <f>Data_inputs!B799*K_factor</f>
        <v>1883.4183682315775</v>
      </c>
      <c r="D799">
        <f>Data_inputs!C799*K_factor</f>
        <v>1392.4331728930465</v>
      </c>
      <c r="E799">
        <f t="shared" si="24"/>
        <v>490.98519533853096</v>
      </c>
      <c r="F799">
        <f>Data_inputs!G799-Data_inputs!H799</f>
        <v>312.26477549811125</v>
      </c>
      <c r="G799">
        <f t="shared" si="25"/>
        <v>664.90429824704495</v>
      </c>
    </row>
    <row r="800" spans="1:7" x14ac:dyDescent="0.3">
      <c r="A800">
        <f>Data_inputs!A800</f>
        <v>797</v>
      </c>
      <c r="B800">
        <f>Data_inputs!B800-Data_inputs!C800</f>
        <v>1301.2094516795951</v>
      </c>
      <c r="C800">
        <f>Data_inputs!B800*K_factor</f>
        <v>4567.1392355765684</v>
      </c>
      <c r="D800">
        <f>Data_inputs!C800*K_factor</f>
        <v>1796.4784847398919</v>
      </c>
      <c r="E800">
        <f t="shared" si="24"/>
        <v>2770.6607508366765</v>
      </c>
      <c r="F800">
        <f>Data_inputs!G800-Data_inputs!H800</f>
        <v>133.88986366130598</v>
      </c>
      <c r="G800">
        <f t="shared" si="25"/>
        <v>285.09122009713082</v>
      </c>
    </row>
    <row r="801" spans="1:7" x14ac:dyDescent="0.3">
      <c r="A801">
        <f>Data_inputs!A801</f>
        <v>798</v>
      </c>
      <c r="B801">
        <f>Data_inputs!B801-Data_inputs!C801</f>
        <v>506.10485743917752</v>
      </c>
      <c r="C801">
        <f>Data_inputs!B801*K_factor</f>
        <v>2331.1559433336843</v>
      </c>
      <c r="D801">
        <f>Data_inputs!C801*K_factor</f>
        <v>1253.5086341287674</v>
      </c>
      <c r="E801">
        <f t="shared" si="24"/>
        <v>1077.6473092049168</v>
      </c>
      <c r="F801">
        <f>Data_inputs!G801-Data_inputs!H801</f>
        <v>319.6498449149999</v>
      </c>
      <c r="G801">
        <f t="shared" si="25"/>
        <v>680.62930081997126</v>
      </c>
    </row>
    <row r="802" spans="1:7" x14ac:dyDescent="0.3">
      <c r="A802">
        <f>Data_inputs!A802</f>
        <v>799</v>
      </c>
      <c r="B802">
        <f>Data_inputs!B802-Data_inputs!C802</f>
        <v>307.61781359604595</v>
      </c>
      <c r="C802">
        <f>Data_inputs!B802*K_factor</f>
        <v>2490.8372968138096</v>
      </c>
      <c r="D802">
        <f>Data_inputs!C802*K_factor</f>
        <v>1835.8277583504926</v>
      </c>
      <c r="E802">
        <f t="shared" si="24"/>
        <v>655.00953846331709</v>
      </c>
      <c r="F802">
        <f>Data_inputs!G802-Data_inputs!H802</f>
        <v>287.03272160185907</v>
      </c>
      <c r="G802">
        <f t="shared" si="25"/>
        <v>611.17777381771282</v>
      </c>
    </row>
    <row r="803" spans="1:7" x14ac:dyDescent="0.3">
      <c r="A803">
        <f>Data_inputs!A803</f>
        <v>800</v>
      </c>
      <c r="B803">
        <f>Data_inputs!B803-Data_inputs!C803</f>
        <v>491.18495751438905</v>
      </c>
      <c r="C803">
        <f>Data_inputs!B803*K_factor</f>
        <v>1987.0493452803053</v>
      </c>
      <c r="D803">
        <f>Data_inputs!C803*K_factor</f>
        <v>941.17092699042416</v>
      </c>
      <c r="E803">
        <f t="shared" si="24"/>
        <v>1045.8784182898812</v>
      </c>
      <c r="F803">
        <f>Data_inputs!G803-Data_inputs!H803</f>
        <v>306.46905733351582</v>
      </c>
      <c r="G803">
        <f t="shared" si="25"/>
        <v>652.56349575684771</v>
      </c>
    </row>
    <row r="804" spans="1:7" x14ac:dyDescent="0.3">
      <c r="A804">
        <f>Data_inputs!A804</f>
        <v>801</v>
      </c>
      <c r="B804">
        <f>Data_inputs!B804-Data_inputs!C804</f>
        <v>413.23791612999014</v>
      </c>
      <c r="C804">
        <f>Data_inputs!B804*K_factor</f>
        <v>2099.7174647812408</v>
      </c>
      <c r="D804">
        <f>Data_inputs!C804*K_factor</f>
        <v>1219.8114100711275</v>
      </c>
      <c r="E804">
        <f t="shared" si="24"/>
        <v>879.90605471011327</v>
      </c>
      <c r="F804">
        <f>Data_inputs!G804-Data_inputs!H804</f>
        <v>168.18020905528306</v>
      </c>
      <c r="G804">
        <f t="shared" si="25"/>
        <v>358.10553304505095</v>
      </c>
    </row>
    <row r="805" spans="1:7" x14ac:dyDescent="0.3">
      <c r="A805">
        <f>Data_inputs!A805</f>
        <v>802</v>
      </c>
      <c r="B805">
        <f>Data_inputs!B805-Data_inputs!C805</f>
        <v>362.22706762084022</v>
      </c>
      <c r="C805">
        <f>Data_inputs!B805*K_factor</f>
        <v>2279.9353608674955</v>
      </c>
      <c r="D805">
        <f>Data_inputs!C805*K_factor</f>
        <v>1508.6465281186465</v>
      </c>
      <c r="E805">
        <f t="shared" si="24"/>
        <v>771.28883274884902</v>
      </c>
      <c r="F805">
        <f>Data_inputs!G805-Data_inputs!H805</f>
        <v>366.18253453928992</v>
      </c>
      <c r="G805">
        <f t="shared" si="25"/>
        <v>779.71119467377628</v>
      </c>
    </row>
    <row r="806" spans="1:7" x14ac:dyDescent="0.3">
      <c r="A806">
        <f>Data_inputs!A806</f>
        <v>803</v>
      </c>
      <c r="B806">
        <f>Data_inputs!B806-Data_inputs!C806</f>
        <v>286.13640737489936</v>
      </c>
      <c r="C806">
        <f>Data_inputs!B806*K_factor</f>
        <v>2027.1305003266903</v>
      </c>
      <c r="D806">
        <f>Data_inputs!C806*K_factor</f>
        <v>1417.8612452688499</v>
      </c>
      <c r="E806">
        <f t="shared" si="24"/>
        <v>609.26925505784038</v>
      </c>
      <c r="F806">
        <f>Data_inputs!G806-Data_inputs!H806</f>
        <v>215.71494135295688</v>
      </c>
      <c r="G806">
        <f t="shared" si="25"/>
        <v>459.3210728712429</v>
      </c>
    </row>
    <row r="807" spans="1:7" x14ac:dyDescent="0.3">
      <c r="A807">
        <f>Data_inputs!A807</f>
        <v>804</v>
      </c>
      <c r="B807">
        <f>Data_inputs!B807-Data_inputs!C807</f>
        <v>1428.9009926551428</v>
      </c>
      <c r="C807">
        <f>Data_inputs!B807*K_factor</f>
        <v>5163.3112497664133</v>
      </c>
      <c r="D807">
        <f>Data_inputs!C807*K_factor</f>
        <v>2120.7573457266662</v>
      </c>
      <c r="E807">
        <f t="shared" si="24"/>
        <v>3042.5539040397471</v>
      </c>
      <c r="F807">
        <f>Data_inputs!G807-Data_inputs!H807</f>
        <v>55.791599109352092</v>
      </c>
      <c r="G807">
        <f t="shared" si="25"/>
        <v>118.79685755369033</v>
      </c>
    </row>
    <row r="808" spans="1:7" x14ac:dyDescent="0.3">
      <c r="A808">
        <f>Data_inputs!A808</f>
        <v>805</v>
      </c>
      <c r="B808">
        <f>Data_inputs!B808-Data_inputs!C808</f>
        <v>1099.5878255001685</v>
      </c>
      <c r="C808">
        <f>Data_inputs!B808*K_factor</f>
        <v>4243.9145216735906</v>
      </c>
      <c r="D808">
        <f>Data_inputs!C808*K_factor</f>
        <v>1902.565996823384</v>
      </c>
      <c r="E808">
        <f t="shared" si="24"/>
        <v>2341.3485248502066</v>
      </c>
      <c r="F808">
        <f>Data_inputs!G808-Data_inputs!H808</f>
        <v>145.78914668421498</v>
      </c>
      <c r="G808">
        <f t="shared" si="25"/>
        <v>310.42832196963496</v>
      </c>
    </row>
    <row r="809" spans="1:7" x14ac:dyDescent="0.3">
      <c r="A809">
        <f>Data_inputs!A809</f>
        <v>806</v>
      </c>
      <c r="B809">
        <f>Data_inputs!B809-Data_inputs!C809</f>
        <v>940.02082776935595</v>
      </c>
      <c r="C809">
        <f>Data_inputs!B809*K_factor</f>
        <v>3561.9111547578459</v>
      </c>
      <c r="D809">
        <f>Data_inputs!C809*K_factor</f>
        <v>1560.3280820959392</v>
      </c>
      <c r="E809">
        <f t="shared" si="24"/>
        <v>2001.5830726619067</v>
      </c>
      <c r="F809">
        <f>Data_inputs!G809-Data_inputs!H809</f>
        <v>181.17136934421978</v>
      </c>
      <c r="G809">
        <f t="shared" si="25"/>
        <v>385.76756537499142</v>
      </c>
    </row>
    <row r="810" spans="1:7" x14ac:dyDescent="0.3">
      <c r="A810">
        <f>Data_inputs!A810</f>
        <v>807</v>
      </c>
      <c r="B810">
        <f>Data_inputs!B810-Data_inputs!C810</f>
        <v>210.27896408781498</v>
      </c>
      <c r="C810">
        <f>Data_inputs!B810*K_factor</f>
        <v>2143.1322186518933</v>
      </c>
      <c r="D810">
        <f>Data_inputs!C810*K_factor</f>
        <v>1695.3859532273132</v>
      </c>
      <c r="E810">
        <f t="shared" si="24"/>
        <v>447.74626542458009</v>
      </c>
      <c r="F810">
        <f>Data_inputs!G810-Data_inputs!H810</f>
        <v>363.97092701135102</v>
      </c>
      <c r="G810">
        <f t="shared" si="25"/>
        <v>775.00202647183482</v>
      </c>
    </row>
    <row r="811" spans="1:7" x14ac:dyDescent="0.3">
      <c r="A811">
        <f>Data_inputs!A811</f>
        <v>808</v>
      </c>
      <c r="B811">
        <f>Data_inputs!B811-Data_inputs!C811</f>
        <v>393.31611730139059</v>
      </c>
      <c r="C811">
        <f>Data_inputs!B811*K_factor</f>
        <v>2276.0964989397817</v>
      </c>
      <c r="D811">
        <f>Data_inputs!C811*K_factor</f>
        <v>1438.6098610493184</v>
      </c>
      <c r="E811">
        <f t="shared" si="24"/>
        <v>837.48663789046327</v>
      </c>
      <c r="F811">
        <f>Data_inputs!G811-Data_inputs!H811</f>
        <v>353.94689465993201</v>
      </c>
      <c r="G811">
        <f t="shared" si="25"/>
        <v>753.65788931901579</v>
      </c>
    </row>
    <row r="812" spans="1:7" x14ac:dyDescent="0.3">
      <c r="A812">
        <f>Data_inputs!A812</f>
        <v>809</v>
      </c>
      <c r="B812">
        <f>Data_inputs!B812-Data_inputs!C812</f>
        <v>1300.9105198144598</v>
      </c>
      <c r="C812">
        <f>Data_inputs!B812*K_factor</f>
        <v>4237.5142356936913</v>
      </c>
      <c r="D812">
        <f>Data_inputs!C812*K_factor</f>
        <v>1467.4899994356897</v>
      </c>
      <c r="E812">
        <f t="shared" si="24"/>
        <v>2770.0242362580016</v>
      </c>
      <c r="F812">
        <f>Data_inputs!G812-Data_inputs!H812</f>
        <v>822.75413855492434</v>
      </c>
      <c r="G812">
        <f t="shared" si="25"/>
        <v>1751.8875199838953</v>
      </c>
    </row>
    <row r="813" spans="1:7" x14ac:dyDescent="0.3">
      <c r="A813">
        <f>Data_inputs!A813</f>
        <v>810</v>
      </c>
      <c r="B813">
        <f>Data_inputs!B813-Data_inputs!C813</f>
        <v>272.96305571429014</v>
      </c>
      <c r="C813">
        <f>Data_inputs!B813*K_factor</f>
        <v>1842.6845172872856</v>
      </c>
      <c r="D813">
        <f>Data_inputs!C813*K_factor</f>
        <v>1261.4652340121636</v>
      </c>
      <c r="E813">
        <f t="shared" si="24"/>
        <v>581.21928327512205</v>
      </c>
      <c r="F813">
        <f>Data_inputs!G813-Data_inputs!H813</f>
        <v>258.08538042795294</v>
      </c>
      <c r="G813">
        <f t="shared" si="25"/>
        <v>549.54030113559065</v>
      </c>
    </row>
    <row r="814" spans="1:7" x14ac:dyDescent="0.3">
      <c r="A814">
        <f>Data_inputs!A814</f>
        <v>811</v>
      </c>
      <c r="B814">
        <f>Data_inputs!B814-Data_inputs!C814</f>
        <v>293.53359991896167</v>
      </c>
      <c r="C814">
        <f>Data_inputs!B814*K_factor</f>
        <v>1674.0119489265253</v>
      </c>
      <c r="D814">
        <f>Data_inputs!C814*K_factor</f>
        <v>1048.9918775633159</v>
      </c>
      <c r="E814">
        <f t="shared" si="24"/>
        <v>625.02007136320935</v>
      </c>
      <c r="F814">
        <f>Data_inputs!G814-Data_inputs!H814</f>
        <v>246.95698721672727</v>
      </c>
      <c r="G814">
        <f t="shared" si="25"/>
        <v>525.84465225260635</v>
      </c>
    </row>
    <row r="815" spans="1:7" x14ac:dyDescent="0.3">
      <c r="A815">
        <f>Data_inputs!A815</f>
        <v>812</v>
      </c>
      <c r="B815">
        <f>Data_inputs!B815-Data_inputs!C815</f>
        <v>243.00607767115662</v>
      </c>
      <c r="C815">
        <f>Data_inputs!B815*K_factor</f>
        <v>1854.9588671076965</v>
      </c>
      <c r="D815">
        <f>Data_inputs!C815*K_factor</f>
        <v>1337.5268727818279</v>
      </c>
      <c r="E815">
        <f t="shared" si="24"/>
        <v>517.43199432586857</v>
      </c>
      <c r="F815">
        <f>Data_inputs!G815-Data_inputs!H815</f>
        <v>240.79392995591411</v>
      </c>
      <c r="G815">
        <f t="shared" si="25"/>
        <v>512.72167590498395</v>
      </c>
    </row>
    <row r="816" spans="1:7" x14ac:dyDescent="0.3">
      <c r="A816">
        <f>Data_inputs!A816</f>
        <v>813</v>
      </c>
      <c r="B816">
        <f>Data_inputs!B816-Data_inputs!C816</f>
        <v>236.25546077083231</v>
      </c>
      <c r="C816">
        <f>Data_inputs!B816*K_factor</f>
        <v>1815.3154104737878</v>
      </c>
      <c r="D816">
        <f>Data_inputs!C816*K_factor</f>
        <v>1312.2574811883483</v>
      </c>
      <c r="E816">
        <f t="shared" si="24"/>
        <v>503.05792928543951</v>
      </c>
      <c r="F816">
        <f>Data_inputs!G816-Data_inputs!H816</f>
        <v>212.34939257701899</v>
      </c>
      <c r="G816">
        <f t="shared" si="25"/>
        <v>452.15482159134234</v>
      </c>
    </row>
    <row r="817" spans="1:7" x14ac:dyDescent="0.3">
      <c r="A817">
        <f>Data_inputs!A817</f>
        <v>814</v>
      </c>
      <c r="B817">
        <f>Data_inputs!B817-Data_inputs!C817</f>
        <v>460.67754727360261</v>
      </c>
      <c r="C817">
        <f>Data_inputs!B817*K_factor</f>
        <v>2798.9154385255988</v>
      </c>
      <c r="D817">
        <f>Data_inputs!C817*K_factor</f>
        <v>1817.9963425452156</v>
      </c>
      <c r="E817">
        <f t="shared" si="24"/>
        <v>980.91909598038319</v>
      </c>
      <c r="F817">
        <f>Data_inputs!G817-Data_inputs!H817</f>
        <v>278.68204818973709</v>
      </c>
      <c r="G817">
        <f t="shared" si="25"/>
        <v>593.39671402279919</v>
      </c>
    </row>
    <row r="818" spans="1:7" x14ac:dyDescent="0.3">
      <c r="A818">
        <f>Data_inputs!A818</f>
        <v>815</v>
      </c>
      <c r="B818">
        <f>Data_inputs!B818-Data_inputs!C818</f>
        <v>936.7496034384618</v>
      </c>
      <c r="C818">
        <f>Data_inputs!B818*K_factor</f>
        <v>3732.7891848437721</v>
      </c>
      <c r="D818">
        <f>Data_inputs!C818*K_factor</f>
        <v>1738.1715187496486</v>
      </c>
      <c r="E818">
        <f t="shared" si="24"/>
        <v>1994.6176660941235</v>
      </c>
      <c r="F818">
        <f>Data_inputs!G818-Data_inputs!H818</f>
        <v>27.833289704874915</v>
      </c>
      <c r="G818">
        <f t="shared" si="25"/>
        <v>59.265326771506103</v>
      </c>
    </row>
    <row r="819" spans="1:7" x14ac:dyDescent="0.3">
      <c r="A819">
        <f>Data_inputs!A819</f>
        <v>816</v>
      </c>
      <c r="B819">
        <f>Data_inputs!B819-Data_inputs!C819</f>
        <v>269.79519362130839</v>
      </c>
      <c r="C819">
        <f>Data_inputs!B819*K_factor</f>
        <v>1760.3286386243917</v>
      </c>
      <c r="D819">
        <f>Data_inputs!C819*K_factor</f>
        <v>1185.854673064076</v>
      </c>
      <c r="E819">
        <f t="shared" si="24"/>
        <v>574.47396556031572</v>
      </c>
      <c r="F819">
        <f>Data_inputs!G819-Data_inputs!H819</f>
        <v>206.09832148077498</v>
      </c>
      <c r="G819">
        <f t="shared" si="25"/>
        <v>438.84443769065916</v>
      </c>
    </row>
    <row r="820" spans="1:7" x14ac:dyDescent="0.3">
      <c r="A820">
        <f>Data_inputs!A820</f>
        <v>817</v>
      </c>
      <c r="B820">
        <f>Data_inputs!B820-Data_inputs!C820</f>
        <v>503.99901899161296</v>
      </c>
      <c r="C820">
        <f>Data_inputs!B820*K_factor</f>
        <v>3980.0508535992453</v>
      </c>
      <c r="D820">
        <f>Data_inputs!C820*K_factor</f>
        <v>2906.8874988620269</v>
      </c>
      <c r="E820">
        <f t="shared" si="24"/>
        <v>1073.1633547372185</v>
      </c>
      <c r="F820">
        <f>Data_inputs!G820-Data_inputs!H820</f>
        <v>1069.6468348281774</v>
      </c>
      <c r="G820">
        <f t="shared" si="25"/>
        <v>2277.5952777546113</v>
      </c>
    </row>
    <row r="821" spans="1:7" x14ac:dyDescent="0.3">
      <c r="A821">
        <f>Data_inputs!A821</f>
        <v>818</v>
      </c>
      <c r="B821">
        <f>Data_inputs!B821-Data_inputs!C821</f>
        <v>356.07773507950003</v>
      </c>
      <c r="C821">
        <f>Data_inputs!B821*K_factor</f>
        <v>1853.5355746292651</v>
      </c>
      <c r="D821">
        <f>Data_inputs!C821*K_factor</f>
        <v>1095.3404942306943</v>
      </c>
      <c r="E821">
        <f t="shared" si="24"/>
        <v>758.19508039857078</v>
      </c>
      <c r="F821">
        <f>Data_inputs!G821-Data_inputs!H821</f>
        <v>336.45471544292695</v>
      </c>
      <c r="G821">
        <f t="shared" si="25"/>
        <v>716.41185307127819</v>
      </c>
    </row>
    <row r="822" spans="1:7" x14ac:dyDescent="0.3">
      <c r="A822">
        <f>Data_inputs!A822</f>
        <v>819</v>
      </c>
      <c r="B822">
        <f>Data_inputs!B822-Data_inputs!C822</f>
        <v>290.07632216948974</v>
      </c>
      <c r="C822">
        <f>Data_inputs!B822*K_factor</f>
        <v>1602.9268838687863</v>
      </c>
      <c r="D822">
        <f>Data_inputs!C822*K_factor</f>
        <v>985.26838196915423</v>
      </c>
      <c r="E822">
        <f t="shared" si="24"/>
        <v>617.65850189963203</v>
      </c>
      <c r="F822">
        <f>Data_inputs!G822-Data_inputs!H822</f>
        <v>196.50040269429587</v>
      </c>
      <c r="G822">
        <f t="shared" si="25"/>
        <v>418.40762266669043</v>
      </c>
    </row>
    <row r="823" spans="1:7" x14ac:dyDescent="0.3">
      <c r="A823">
        <f>Data_inputs!A823</f>
        <v>820</v>
      </c>
      <c r="B823">
        <f>Data_inputs!B823-Data_inputs!C823</f>
        <v>620.97964507508095</v>
      </c>
      <c r="C823">
        <f>Data_inputs!B823*K_factor</f>
        <v>3471.9462458949156</v>
      </c>
      <c r="D823">
        <f>Data_inputs!C823*K_factor</f>
        <v>2149.6964517075367</v>
      </c>
      <c r="E823">
        <f t="shared" si="24"/>
        <v>1322.2497941873789</v>
      </c>
      <c r="F823">
        <f>Data_inputs!G823-Data_inputs!H823</f>
        <v>194.28801360866237</v>
      </c>
      <c r="G823">
        <f t="shared" si="25"/>
        <v>413.69679029667356</v>
      </c>
    </row>
    <row r="824" spans="1:7" x14ac:dyDescent="0.3">
      <c r="A824">
        <f>Data_inputs!A824</f>
        <v>821</v>
      </c>
      <c r="B824">
        <f>Data_inputs!B824-Data_inputs!C824</f>
        <v>404.29764388654667</v>
      </c>
      <c r="C824">
        <f>Data_inputs!B824*K_factor</f>
        <v>2290.0475332784968</v>
      </c>
      <c r="D824">
        <f>Data_inputs!C824*K_factor</f>
        <v>1429.1779691001191</v>
      </c>
      <c r="E824">
        <f t="shared" si="24"/>
        <v>860.86956417837769</v>
      </c>
      <c r="F824">
        <f>Data_inputs!G824-Data_inputs!H824</f>
        <v>379.22907245363513</v>
      </c>
      <c r="G824">
        <f t="shared" si="25"/>
        <v>807.49114238851178</v>
      </c>
    </row>
    <row r="825" spans="1:7" x14ac:dyDescent="0.3">
      <c r="A825">
        <f>Data_inputs!A825</f>
        <v>822</v>
      </c>
      <c r="B825">
        <f>Data_inputs!B825-Data_inputs!C825</f>
        <v>439.53434636240945</v>
      </c>
      <c r="C825">
        <f>Data_inputs!B825*K_factor</f>
        <v>2753.6787512506176</v>
      </c>
      <c r="D825">
        <f>Data_inputs!C825*K_factor</f>
        <v>1817.7797992878491</v>
      </c>
      <c r="E825">
        <f t="shared" si="24"/>
        <v>935.89895196276848</v>
      </c>
      <c r="F825">
        <f>Data_inputs!G825-Data_inputs!H825</f>
        <v>297.15517483193207</v>
      </c>
      <c r="G825">
        <f t="shared" si="25"/>
        <v>632.7314782044599</v>
      </c>
    </row>
    <row r="826" spans="1:7" x14ac:dyDescent="0.3">
      <c r="A826">
        <f>Data_inputs!A826</f>
        <v>823</v>
      </c>
      <c r="B826">
        <f>Data_inputs!B826-Data_inputs!C826</f>
        <v>454.4698043489575</v>
      </c>
      <c r="C826">
        <f>Data_inputs!B826*K_factor</f>
        <v>2079.3820358890512</v>
      </c>
      <c r="D826">
        <f>Data_inputs!C826*K_factor</f>
        <v>1111.6810652845611</v>
      </c>
      <c r="E826">
        <f t="shared" si="24"/>
        <v>967.70097060449007</v>
      </c>
      <c r="F826">
        <f>Data_inputs!G826-Data_inputs!H826</f>
        <v>279.73565082670007</v>
      </c>
      <c r="G826">
        <f t="shared" si="25"/>
        <v>595.64014644595227</v>
      </c>
    </row>
    <row r="827" spans="1:7" x14ac:dyDescent="0.3">
      <c r="A827">
        <f>Data_inputs!A827</f>
        <v>824</v>
      </c>
      <c r="B827">
        <f>Data_inputs!B827-Data_inputs!C827</f>
        <v>534.16671964220802</v>
      </c>
      <c r="C827">
        <f>Data_inputs!B827*K_factor</f>
        <v>2666.1322911788125</v>
      </c>
      <c r="D827">
        <f>Data_inputs!C827*K_factor</f>
        <v>1528.7329565786258</v>
      </c>
      <c r="E827">
        <f t="shared" si="24"/>
        <v>1137.3993346001866</v>
      </c>
      <c r="F827">
        <f>Data_inputs!G827-Data_inputs!H827</f>
        <v>419.13837181418512</v>
      </c>
      <c r="G827">
        <f t="shared" si="25"/>
        <v>892.46987443579087</v>
      </c>
    </row>
    <row r="828" spans="1:7" x14ac:dyDescent="0.3">
      <c r="A828">
        <f>Data_inputs!A828</f>
        <v>825</v>
      </c>
      <c r="B828">
        <f>Data_inputs!B828-Data_inputs!C828</f>
        <v>1272.0818153171206</v>
      </c>
      <c r="C828">
        <f>Data_inputs!B828*K_factor</f>
        <v>4319.3763619263673</v>
      </c>
      <c r="D828">
        <f>Data_inputs!C828*K_factor</f>
        <v>1610.736985688515</v>
      </c>
      <c r="E828">
        <f t="shared" si="24"/>
        <v>2708.639376237852</v>
      </c>
      <c r="F828">
        <f>Data_inputs!G828-Data_inputs!H828</f>
        <v>65.972451015921024</v>
      </c>
      <c r="G828">
        <f t="shared" si="25"/>
        <v>140.47491003878483</v>
      </c>
    </row>
    <row r="829" spans="1:7" x14ac:dyDescent="0.3">
      <c r="A829">
        <f>Data_inputs!A829</f>
        <v>826</v>
      </c>
      <c r="B829">
        <f>Data_inputs!B829-Data_inputs!C829</f>
        <v>155.9827838049456</v>
      </c>
      <c r="C829">
        <f>Data_inputs!B829*K_factor</f>
        <v>2103.0960523200906</v>
      </c>
      <c r="D829">
        <f>Data_inputs!C829*K_factor</f>
        <v>1770.9624543534023</v>
      </c>
      <c r="E829">
        <f t="shared" si="24"/>
        <v>332.13359796668828</v>
      </c>
      <c r="F829">
        <f>Data_inputs!G829-Data_inputs!H829</f>
        <v>344.64856778725789</v>
      </c>
      <c r="G829">
        <f t="shared" si="25"/>
        <v>733.85899431305495</v>
      </c>
    </row>
    <row r="830" spans="1:7" x14ac:dyDescent="0.3">
      <c r="A830">
        <f>Data_inputs!A830</f>
        <v>827</v>
      </c>
      <c r="B830">
        <f>Data_inputs!B830-Data_inputs!C830</f>
        <v>7.5710713039129587</v>
      </c>
      <c r="C830">
        <f>Data_inputs!B830*K_factor</f>
        <v>4664.7563175521127</v>
      </c>
      <c r="D830">
        <f>Data_inputs!C830*K_factor</f>
        <v>4648.6352618093497</v>
      </c>
      <c r="E830">
        <f t="shared" si="24"/>
        <v>16.121055742763019</v>
      </c>
      <c r="F830">
        <f>Data_inputs!G830-Data_inputs!H830</f>
        <v>39.047843414226008</v>
      </c>
      <c r="G830">
        <f t="shared" si="25"/>
        <v>83.144436902885573</v>
      </c>
    </row>
    <row r="831" spans="1:7" x14ac:dyDescent="0.3">
      <c r="A831">
        <f>Data_inputs!A831</f>
        <v>828</v>
      </c>
      <c r="B831">
        <f>Data_inputs!B831-Data_inputs!C831</f>
        <v>145.01233788954153</v>
      </c>
      <c r="C831">
        <f>Data_inputs!B831*K_factor</f>
        <v>1547.0621504719359</v>
      </c>
      <c r="D831">
        <f>Data_inputs!C831*K_factor</f>
        <v>1238.2878847616741</v>
      </c>
      <c r="E831">
        <f t="shared" si="24"/>
        <v>308.77426571026172</v>
      </c>
      <c r="F831">
        <f>Data_inputs!G831-Data_inputs!H831</f>
        <v>276.61821021679998</v>
      </c>
      <c r="G831">
        <f t="shared" si="25"/>
        <v>589.00219101935636</v>
      </c>
    </row>
    <row r="832" spans="1:7" x14ac:dyDescent="0.3">
      <c r="A832">
        <f>Data_inputs!A832</f>
        <v>829</v>
      </c>
      <c r="B832">
        <f>Data_inputs!B832-Data_inputs!C832</f>
        <v>230.36365492355037</v>
      </c>
      <c r="C832">
        <f>Data_inputs!B832*K_factor</f>
        <v>1758.7838525707575</v>
      </c>
      <c r="D832">
        <f>Data_inputs!C832*K_factor</f>
        <v>1268.2713249434007</v>
      </c>
      <c r="E832">
        <f t="shared" si="24"/>
        <v>490.5125276273568</v>
      </c>
      <c r="F832">
        <f>Data_inputs!G832-Data_inputs!H832</f>
        <v>125.70579214086797</v>
      </c>
      <c r="G832">
        <f t="shared" si="25"/>
        <v>267.66490512958376</v>
      </c>
    </row>
    <row r="833" spans="1:7" x14ac:dyDescent="0.3">
      <c r="A833">
        <f>Data_inputs!A833</f>
        <v>830</v>
      </c>
      <c r="B833">
        <f>Data_inputs!B833-Data_inputs!C833</f>
        <v>315.43648699486823</v>
      </c>
      <c r="C833">
        <f>Data_inputs!B833*K_factor</f>
        <v>2010.2559713623457</v>
      </c>
      <c r="D833">
        <f>Data_inputs!C833*K_factor</f>
        <v>1338.5981588784507</v>
      </c>
      <c r="E833">
        <f t="shared" si="24"/>
        <v>671.65781248389499</v>
      </c>
      <c r="F833">
        <f>Data_inputs!G833-Data_inputs!H833</f>
        <v>240.09342910508894</v>
      </c>
      <c r="G833">
        <f t="shared" si="25"/>
        <v>511.23010188451877</v>
      </c>
    </row>
    <row r="834" spans="1:7" x14ac:dyDescent="0.3">
      <c r="A834">
        <f>Data_inputs!A834</f>
        <v>831</v>
      </c>
      <c r="B834">
        <f>Data_inputs!B834-Data_inputs!C834</f>
        <v>1550.6550189698214</v>
      </c>
      <c r="C834">
        <f>Data_inputs!B834*K_factor</f>
        <v>5057.7831161943823</v>
      </c>
      <c r="D834">
        <f>Data_inputs!C834*K_factor</f>
        <v>1755.9787882271262</v>
      </c>
      <c r="E834">
        <f t="shared" si="24"/>
        <v>3301.8043279672561</v>
      </c>
      <c r="F834">
        <f>Data_inputs!G834-Data_inputs!H834</f>
        <v>937.67750009392012</v>
      </c>
      <c r="G834">
        <f t="shared" si="25"/>
        <v>1996.5934332089353</v>
      </c>
    </row>
    <row r="835" spans="1:7" x14ac:dyDescent="0.3">
      <c r="A835">
        <f>Data_inputs!A835</f>
        <v>832</v>
      </c>
      <c r="B835">
        <f>Data_inputs!B835-Data_inputs!C835</f>
        <v>322.19701368892402</v>
      </c>
      <c r="C835">
        <f>Data_inputs!B835*K_factor</f>
        <v>1953.8302380489647</v>
      </c>
      <c r="D835">
        <f>Data_inputs!C835*K_factor</f>
        <v>1267.7772596353834</v>
      </c>
      <c r="E835">
        <f t="shared" si="24"/>
        <v>686.05297841358129</v>
      </c>
      <c r="F835">
        <f>Data_inputs!G835-Data_inputs!H835</f>
        <v>384.41790898781483</v>
      </c>
      <c r="G835">
        <f t="shared" si="25"/>
        <v>818.53971393800521</v>
      </c>
    </row>
    <row r="836" spans="1:7" x14ac:dyDescent="0.3">
      <c r="A836">
        <f>Data_inputs!A836</f>
        <v>833</v>
      </c>
      <c r="B836">
        <f>Data_inputs!B836-Data_inputs!C836</f>
        <v>296.89778722942856</v>
      </c>
      <c r="C836">
        <f>Data_inputs!B836*K_factor</f>
        <v>1825.5382164228479</v>
      </c>
      <c r="D836">
        <f>Data_inputs!C836*K_factor</f>
        <v>1193.3547927434208</v>
      </c>
      <c r="E836">
        <f t="shared" ref="E836:E899" si="26">C836-D836</f>
        <v>632.18342367942705</v>
      </c>
      <c r="F836">
        <f>Data_inputs!G836-Data_inputs!H836</f>
        <v>295.05640393389808</v>
      </c>
      <c r="G836">
        <f t="shared" ref="G836:G899" si="27">F836*K_factor</f>
        <v>628.26257264534718</v>
      </c>
    </row>
    <row r="837" spans="1:7" x14ac:dyDescent="0.3">
      <c r="A837">
        <f>Data_inputs!A837</f>
        <v>834</v>
      </c>
      <c r="B837">
        <f>Data_inputs!B837-Data_inputs!C837</f>
        <v>287.68478777627587</v>
      </c>
      <c r="C837">
        <f>Data_inputs!B837*K_factor</f>
        <v>1695.3795383569206</v>
      </c>
      <c r="D837">
        <f>Data_inputs!C837*K_factor</f>
        <v>1082.8133223064274</v>
      </c>
      <c r="E837">
        <f t="shared" si="26"/>
        <v>612.56621605049327</v>
      </c>
      <c r="F837">
        <f>Data_inputs!G837-Data_inputs!H837</f>
        <v>232.66488743445097</v>
      </c>
      <c r="G837">
        <f t="shared" si="27"/>
        <v>495.41253399318185</v>
      </c>
    </row>
    <row r="838" spans="1:7" x14ac:dyDescent="0.3">
      <c r="A838">
        <f>Data_inputs!A838</f>
        <v>835</v>
      </c>
      <c r="B838">
        <f>Data_inputs!B838-Data_inputs!C838</f>
        <v>269.99721142866213</v>
      </c>
      <c r="C838">
        <f>Data_inputs!B838*K_factor</f>
        <v>1726.3183241706101</v>
      </c>
      <c r="D838">
        <f>Data_inputs!C838*K_factor</f>
        <v>1151.4142027971143</v>
      </c>
      <c r="E838">
        <f t="shared" si="26"/>
        <v>574.90412137349585</v>
      </c>
      <c r="F838">
        <f>Data_inputs!G838-Data_inputs!H838</f>
        <v>281.78632434956398</v>
      </c>
      <c r="G838">
        <f t="shared" si="27"/>
        <v>600.00663843173152</v>
      </c>
    </row>
    <row r="839" spans="1:7" x14ac:dyDescent="0.3">
      <c r="A839">
        <f>Data_inputs!A839</f>
        <v>836</v>
      </c>
      <c r="B839">
        <f>Data_inputs!B839-Data_inputs!C839</f>
        <v>229.87610047285295</v>
      </c>
      <c r="C839">
        <f>Data_inputs!B839*K_factor</f>
        <v>1733.2802255081347</v>
      </c>
      <c r="D839">
        <f>Data_inputs!C839*K_factor</f>
        <v>1243.8058458735543</v>
      </c>
      <c r="E839">
        <f t="shared" si="26"/>
        <v>489.47437963458037</v>
      </c>
      <c r="F839">
        <f>Data_inputs!G839-Data_inputs!H839</f>
        <v>201.63891317116781</v>
      </c>
      <c r="G839">
        <f t="shared" si="27"/>
        <v>429.34903511774127</v>
      </c>
    </row>
    <row r="840" spans="1:7" x14ac:dyDescent="0.3">
      <c r="A840">
        <f>Data_inputs!A840</f>
        <v>837</v>
      </c>
      <c r="B840">
        <f>Data_inputs!B840-Data_inputs!C840</f>
        <v>111.24449489794597</v>
      </c>
      <c r="C840">
        <f>Data_inputs!B840*K_factor</f>
        <v>1108.1925654097852</v>
      </c>
      <c r="D840">
        <f>Data_inputs!C840*K_factor</f>
        <v>871.32005010293756</v>
      </c>
      <c r="E840">
        <f t="shared" si="26"/>
        <v>236.87251530684762</v>
      </c>
      <c r="F840">
        <f>Data_inputs!G840-Data_inputs!H840</f>
        <v>142.37821165590503</v>
      </c>
      <c r="G840">
        <f t="shared" si="27"/>
        <v>303.16542990072656</v>
      </c>
    </row>
    <row r="841" spans="1:7" x14ac:dyDescent="0.3">
      <c r="A841">
        <f>Data_inputs!A841</f>
        <v>838</v>
      </c>
      <c r="B841">
        <f>Data_inputs!B841-Data_inputs!C841</f>
        <v>136.42269091910362</v>
      </c>
      <c r="C841">
        <f>Data_inputs!B841*K_factor</f>
        <v>1984.6203273126048</v>
      </c>
      <c r="D841">
        <f>Data_inputs!C841*K_factor</f>
        <v>1694.1359669621727</v>
      </c>
      <c r="E841">
        <f t="shared" si="26"/>
        <v>290.4843603504321</v>
      </c>
      <c r="F841">
        <f>Data_inputs!G841-Data_inputs!H841</f>
        <v>246.51719224098269</v>
      </c>
      <c r="G841">
        <f t="shared" si="27"/>
        <v>524.90819834340834</v>
      </c>
    </row>
    <row r="842" spans="1:7" x14ac:dyDescent="0.3">
      <c r="A842">
        <f>Data_inputs!A842</f>
        <v>839</v>
      </c>
      <c r="B842">
        <f>Data_inputs!B842-Data_inputs!C842</f>
        <v>437.37834391117451</v>
      </c>
      <c r="C842">
        <f>Data_inputs!B842*K_factor</f>
        <v>1877.2308936078107</v>
      </c>
      <c r="D842">
        <f>Data_inputs!C842*K_factor</f>
        <v>945.92271015093797</v>
      </c>
      <c r="E842">
        <f t="shared" si="26"/>
        <v>931.30818345687271</v>
      </c>
      <c r="F842">
        <f>Data_inputs!G842-Data_inputs!H842</f>
        <v>33.554158538717957</v>
      </c>
      <c r="G842">
        <f t="shared" si="27"/>
        <v>71.446752842577013</v>
      </c>
    </row>
    <row r="843" spans="1:7" x14ac:dyDescent="0.3">
      <c r="A843">
        <f>Data_inputs!A843</f>
        <v>840</v>
      </c>
      <c r="B843">
        <f>Data_inputs!B843-Data_inputs!C843</f>
        <v>265.82561277363686</v>
      </c>
      <c r="C843">
        <f>Data_inputs!B843*K_factor</f>
        <v>2144.8269007943381</v>
      </c>
      <c r="D843">
        <f>Data_inputs!C843*K_factor</f>
        <v>1578.8053498992554</v>
      </c>
      <c r="E843">
        <f t="shared" si="26"/>
        <v>566.02155089508278</v>
      </c>
      <c r="F843">
        <f>Data_inputs!G843-Data_inputs!H843</f>
        <v>261.56046727428497</v>
      </c>
      <c r="G843">
        <f t="shared" si="27"/>
        <v>556.93979144704883</v>
      </c>
    </row>
    <row r="844" spans="1:7" x14ac:dyDescent="0.3">
      <c r="A844">
        <f>Data_inputs!A844</f>
        <v>841</v>
      </c>
      <c r="B844">
        <f>Data_inputs!B844-Data_inputs!C844</f>
        <v>313.80585203368054</v>
      </c>
      <c r="C844">
        <f>Data_inputs!B844*K_factor</f>
        <v>1331.7612479493566</v>
      </c>
      <c r="D844">
        <f>Data_inputs!C844*K_factor</f>
        <v>663.57554080566877</v>
      </c>
      <c r="E844">
        <f t="shared" si="26"/>
        <v>668.18570714368786</v>
      </c>
      <c r="F844">
        <f>Data_inputs!G844-Data_inputs!H844</f>
        <v>130.23894518449856</v>
      </c>
      <c r="G844">
        <f t="shared" si="27"/>
        <v>277.31733210766242</v>
      </c>
    </row>
    <row r="845" spans="1:7" x14ac:dyDescent="0.3">
      <c r="A845">
        <f>Data_inputs!A845</f>
        <v>842</v>
      </c>
      <c r="B845">
        <f>Data_inputs!B845-Data_inputs!C845</f>
        <v>490.1999284226772</v>
      </c>
      <c r="C845">
        <f>Data_inputs!B845*K_factor</f>
        <v>6719.9656625757771</v>
      </c>
      <c r="D845">
        <f>Data_inputs!C845*K_factor</f>
        <v>5676.1846632981196</v>
      </c>
      <c r="E845">
        <f t="shared" si="26"/>
        <v>1043.7809992776574</v>
      </c>
      <c r="F845">
        <f>Data_inputs!G845-Data_inputs!H845</f>
        <v>29.080635707547117</v>
      </c>
      <c r="G845">
        <f t="shared" si="27"/>
        <v>61.921296268081726</v>
      </c>
    </row>
    <row r="846" spans="1:7" x14ac:dyDescent="0.3">
      <c r="A846">
        <f>Data_inputs!A846</f>
        <v>843</v>
      </c>
      <c r="B846">
        <f>Data_inputs!B846-Data_inputs!C846</f>
        <v>664.18827756373526</v>
      </c>
      <c r="C846">
        <f>Data_inputs!B846*K_factor</f>
        <v>3148.5464578305559</v>
      </c>
      <c r="D846">
        <f>Data_inputs!C846*K_factor</f>
        <v>1734.2926730641723</v>
      </c>
      <c r="E846">
        <f t="shared" si="26"/>
        <v>1414.2537847663837</v>
      </c>
      <c r="F846">
        <f>Data_inputs!G846-Data_inputs!H846</f>
        <v>642.36044040773913</v>
      </c>
      <c r="G846">
        <f t="shared" si="27"/>
        <v>1367.7758471786194</v>
      </c>
    </row>
    <row r="847" spans="1:7" x14ac:dyDescent="0.3">
      <c r="A847">
        <f>Data_inputs!A847</f>
        <v>844</v>
      </c>
      <c r="B847">
        <f>Data_inputs!B847-Data_inputs!C847</f>
        <v>348.10048972435726</v>
      </c>
      <c r="C847">
        <f>Data_inputs!B847*K_factor</f>
        <v>1531.1404534482529</v>
      </c>
      <c r="D847">
        <f>Data_inputs!C847*K_factor</f>
        <v>789.93129378424067</v>
      </c>
      <c r="E847">
        <f t="shared" si="26"/>
        <v>741.20915966401219</v>
      </c>
      <c r="F847">
        <f>Data_inputs!G847-Data_inputs!H847</f>
        <v>277.8921280500831</v>
      </c>
      <c r="G847">
        <f t="shared" si="27"/>
        <v>591.71473982225086</v>
      </c>
    </row>
    <row r="848" spans="1:7" x14ac:dyDescent="0.3">
      <c r="A848">
        <f>Data_inputs!A848</f>
        <v>845</v>
      </c>
      <c r="B848">
        <f>Data_inputs!B848-Data_inputs!C848</f>
        <v>265.16984408743366</v>
      </c>
      <c r="C848">
        <f>Data_inputs!B848*K_factor</f>
        <v>1647.935289084294</v>
      </c>
      <c r="D848">
        <f>Data_inputs!C848*K_factor</f>
        <v>1083.3100641674355</v>
      </c>
      <c r="E848">
        <f t="shared" si="26"/>
        <v>564.62522491685854</v>
      </c>
      <c r="F848">
        <f>Data_inputs!G848-Data_inputs!H848</f>
        <v>166.25319113070691</v>
      </c>
      <c r="G848">
        <f t="shared" si="27"/>
        <v>354.0023404937748</v>
      </c>
    </row>
    <row r="849" spans="1:7" x14ac:dyDescent="0.3">
      <c r="A849">
        <f>Data_inputs!A849</f>
        <v>846</v>
      </c>
      <c r="B849">
        <f>Data_inputs!B849-Data_inputs!C849</f>
        <v>347.52415248996294</v>
      </c>
      <c r="C849">
        <f>Data_inputs!B849*K_factor</f>
        <v>2142.3622436910332</v>
      </c>
      <c r="D849">
        <f>Data_inputs!C849*K_factor</f>
        <v>1402.3802768917217</v>
      </c>
      <c r="E849">
        <f t="shared" si="26"/>
        <v>739.98196679931152</v>
      </c>
      <c r="F849">
        <f>Data_inputs!G849-Data_inputs!H849</f>
        <v>373.5085215532531</v>
      </c>
      <c r="G849">
        <f t="shared" si="27"/>
        <v>795.31039329205146</v>
      </c>
    </row>
    <row r="850" spans="1:7" x14ac:dyDescent="0.3">
      <c r="A850">
        <f>Data_inputs!A850</f>
        <v>847</v>
      </c>
      <c r="B850">
        <f>Data_inputs!B850-Data_inputs!C850</f>
        <v>491.14558542558996</v>
      </c>
      <c r="C850">
        <f>Data_inputs!B850*K_factor</f>
        <v>2397.4756432075396</v>
      </c>
      <c r="D850">
        <f>Data_inputs!C850*K_factor</f>
        <v>1351.6810597691294</v>
      </c>
      <c r="E850">
        <f t="shared" si="26"/>
        <v>1045.7945834384102</v>
      </c>
      <c r="F850">
        <f>Data_inputs!G850-Data_inputs!H850</f>
        <v>450.52382351167512</v>
      </c>
      <c r="G850">
        <f t="shared" si="27"/>
        <v>959.29880735913412</v>
      </c>
    </row>
    <row r="851" spans="1:7" x14ac:dyDescent="0.3">
      <c r="A851">
        <f>Data_inputs!A851</f>
        <v>848</v>
      </c>
      <c r="B851">
        <f>Data_inputs!B851-Data_inputs!C851</f>
        <v>299.59139766003454</v>
      </c>
      <c r="C851">
        <f>Data_inputs!B851*K_factor</f>
        <v>1800.0091418647089</v>
      </c>
      <c r="D851">
        <f>Data_inputs!C851*K_factor</f>
        <v>1162.090222882438</v>
      </c>
      <c r="E851">
        <f t="shared" si="26"/>
        <v>637.91891898227095</v>
      </c>
      <c r="F851">
        <f>Data_inputs!G851-Data_inputs!H851</f>
        <v>120.67965767821511</v>
      </c>
      <c r="G851">
        <f t="shared" si="27"/>
        <v>256.96277453398699</v>
      </c>
    </row>
    <row r="852" spans="1:7" x14ac:dyDescent="0.3">
      <c r="A852">
        <f>Data_inputs!A852</f>
        <v>849</v>
      </c>
      <c r="B852">
        <f>Data_inputs!B852-Data_inputs!C852</f>
        <v>320.04644943277628</v>
      </c>
      <c r="C852">
        <f>Data_inputs!B852*K_factor</f>
        <v>2188.2403306710203</v>
      </c>
      <c r="D852">
        <f>Data_inputs!C852*K_factor</f>
        <v>1506.7665412334873</v>
      </c>
      <c r="E852">
        <f t="shared" si="26"/>
        <v>681.47378943753301</v>
      </c>
      <c r="F852">
        <f>Data_inputs!G852-Data_inputs!H852</f>
        <v>296.28371536844315</v>
      </c>
      <c r="G852">
        <f t="shared" si="27"/>
        <v>630.87588260582879</v>
      </c>
    </row>
    <row r="853" spans="1:7" x14ac:dyDescent="0.3">
      <c r="A853">
        <f>Data_inputs!A853</f>
        <v>850</v>
      </c>
      <c r="B853">
        <f>Data_inputs!B853-Data_inputs!C853</f>
        <v>393.03067779750842</v>
      </c>
      <c r="C853">
        <f>Data_inputs!B853*K_factor</f>
        <v>1860.5067928141796</v>
      </c>
      <c r="D853">
        <f>Data_inputs!C853*K_factor</f>
        <v>1023.6279402645956</v>
      </c>
      <c r="E853">
        <f t="shared" si="26"/>
        <v>836.87885254958394</v>
      </c>
      <c r="F853">
        <f>Data_inputs!G853-Data_inputs!H853</f>
        <v>229.97643219644715</v>
      </c>
      <c r="G853">
        <f t="shared" si="27"/>
        <v>489.68801562398033</v>
      </c>
    </row>
    <row r="854" spans="1:7" x14ac:dyDescent="0.3">
      <c r="A854">
        <f>Data_inputs!A854</f>
        <v>851</v>
      </c>
      <c r="B854">
        <f>Data_inputs!B854-Data_inputs!C854</f>
        <v>1552.5553988787563</v>
      </c>
      <c r="C854">
        <f>Data_inputs!B854*K_factor</f>
        <v>5344.1582202565169</v>
      </c>
      <c r="D854">
        <f>Data_inputs!C854*K_factor</f>
        <v>2038.3074199718581</v>
      </c>
      <c r="E854">
        <f t="shared" si="26"/>
        <v>3305.8508002846588</v>
      </c>
      <c r="F854">
        <f>Data_inputs!G854-Data_inputs!H854</f>
        <v>189.70190251472491</v>
      </c>
      <c r="G854">
        <f t="shared" si="27"/>
        <v>403.93159992663158</v>
      </c>
    </row>
    <row r="855" spans="1:7" x14ac:dyDescent="0.3">
      <c r="A855">
        <f>Data_inputs!A855</f>
        <v>852</v>
      </c>
      <c r="B855">
        <f>Data_inputs!B855-Data_inputs!C855</f>
        <v>287.44431354972556</v>
      </c>
      <c r="C855">
        <f>Data_inputs!B855*K_factor</f>
        <v>1604.5354586615097</v>
      </c>
      <c r="D855">
        <f>Data_inputs!C855*K_factor</f>
        <v>992.48128354357402</v>
      </c>
      <c r="E855">
        <f t="shared" si="26"/>
        <v>612.05417511793564</v>
      </c>
      <c r="F855">
        <f>Data_inputs!G855-Data_inputs!H855</f>
        <v>255.37355869733005</v>
      </c>
      <c r="G855">
        <f t="shared" si="27"/>
        <v>543.76602857508601</v>
      </c>
    </row>
    <row r="856" spans="1:7" x14ac:dyDescent="0.3">
      <c r="A856">
        <f>Data_inputs!A856</f>
        <v>853</v>
      </c>
      <c r="B856">
        <f>Data_inputs!B856-Data_inputs!C856</f>
        <v>602.93093891424985</v>
      </c>
      <c r="C856">
        <f>Data_inputs!B856*K_factor</f>
        <v>2670.2737788653308</v>
      </c>
      <c r="D856">
        <f>Data_inputs!C856*K_factor</f>
        <v>1386.4550318077204</v>
      </c>
      <c r="E856">
        <f t="shared" si="26"/>
        <v>1283.8187470576104</v>
      </c>
      <c r="F856">
        <f>Data_inputs!G856-Data_inputs!H856</f>
        <v>444.75207983536529</v>
      </c>
      <c r="G856">
        <f t="shared" si="27"/>
        <v>947.00905366329391</v>
      </c>
    </row>
    <row r="857" spans="1:7" x14ac:dyDescent="0.3">
      <c r="A857">
        <f>Data_inputs!A857</f>
        <v>854</v>
      </c>
      <c r="B857">
        <f>Data_inputs!B857-Data_inputs!C857</f>
        <v>375.35909678142843</v>
      </c>
      <c r="C857">
        <f>Data_inputs!B857*K_factor</f>
        <v>2249.2317474640859</v>
      </c>
      <c r="D857">
        <f>Data_inputs!C857*K_factor</f>
        <v>1449.9809307878072</v>
      </c>
      <c r="E857">
        <f t="shared" si="26"/>
        <v>799.25081667627865</v>
      </c>
      <c r="F857">
        <f>Data_inputs!G857-Data_inputs!H857</f>
        <v>220.79037799556386</v>
      </c>
      <c r="G857">
        <f t="shared" si="27"/>
        <v>470.12818242680123</v>
      </c>
    </row>
    <row r="858" spans="1:7" x14ac:dyDescent="0.3">
      <c r="A858">
        <f>Data_inputs!A858</f>
        <v>855</v>
      </c>
      <c r="B858">
        <f>Data_inputs!B858-Data_inputs!C858</f>
        <v>546.07332066825495</v>
      </c>
      <c r="C858">
        <f>Data_inputs!B858*K_factor</f>
        <v>2111.2154793346376</v>
      </c>
      <c r="D858">
        <f>Data_inputs!C858*K_factor</f>
        <v>948.46346066336821</v>
      </c>
      <c r="E858">
        <f t="shared" si="26"/>
        <v>1162.7520186712695</v>
      </c>
      <c r="F858">
        <f>Data_inputs!G858-Data_inputs!H858</f>
        <v>506.08149709280997</v>
      </c>
      <c r="G858">
        <f t="shared" si="27"/>
        <v>1077.5975681008056</v>
      </c>
    </row>
    <row r="859" spans="1:7" x14ac:dyDescent="0.3">
      <c r="A859">
        <f>Data_inputs!A859</f>
        <v>856</v>
      </c>
      <c r="B859">
        <f>Data_inputs!B859-Data_inputs!C859</f>
        <v>386.06101580698248</v>
      </c>
      <c r="C859">
        <f>Data_inputs!B859*K_factor</f>
        <v>2042.6350501889285</v>
      </c>
      <c r="D859">
        <f>Data_inputs!C859*K_factor</f>
        <v>1220.5966746269828</v>
      </c>
      <c r="E859">
        <f t="shared" si="26"/>
        <v>822.03837556194571</v>
      </c>
      <c r="F859">
        <f>Data_inputs!G859-Data_inputs!H859</f>
        <v>305.53111553271219</v>
      </c>
      <c r="G859">
        <f t="shared" si="27"/>
        <v>650.56633954905863</v>
      </c>
    </row>
    <row r="860" spans="1:7" x14ac:dyDescent="0.3">
      <c r="A860">
        <f>Data_inputs!A860</f>
        <v>857</v>
      </c>
      <c r="B860">
        <f>Data_inputs!B860-Data_inputs!C860</f>
        <v>507.97361553985991</v>
      </c>
      <c r="C860">
        <f>Data_inputs!B860*K_factor</f>
        <v>2781.2383114911886</v>
      </c>
      <c r="D860">
        <f>Data_inputs!C860*K_factor</f>
        <v>1699.6118621749811</v>
      </c>
      <c r="E860">
        <f t="shared" si="26"/>
        <v>1081.6264493162075</v>
      </c>
      <c r="F860">
        <f>Data_inputs!G860-Data_inputs!H860</f>
        <v>315.94523767627015</v>
      </c>
      <c r="G860">
        <f t="shared" si="27"/>
        <v>672.74109353684332</v>
      </c>
    </row>
    <row r="861" spans="1:7" x14ac:dyDescent="0.3">
      <c r="A861">
        <f>Data_inputs!A861</f>
        <v>858</v>
      </c>
      <c r="B861">
        <f>Data_inputs!B861-Data_inputs!C861</f>
        <v>1190.4231474049177</v>
      </c>
      <c r="C861">
        <f>Data_inputs!B861*K_factor</f>
        <v>4647.2406987097575</v>
      </c>
      <c r="D861">
        <f>Data_inputs!C861*K_factor</f>
        <v>2112.4768394825651</v>
      </c>
      <c r="E861">
        <f t="shared" si="26"/>
        <v>2534.7638592271924</v>
      </c>
      <c r="F861">
        <f>Data_inputs!G861-Data_inputs!H861</f>
        <v>-7.5368673768066401</v>
      </c>
      <c r="G861">
        <f t="shared" si="27"/>
        <v>-16.048225439974342</v>
      </c>
    </row>
    <row r="862" spans="1:7" x14ac:dyDescent="0.3">
      <c r="A862">
        <f>Data_inputs!A862</f>
        <v>859</v>
      </c>
      <c r="B862">
        <f>Data_inputs!B862-Data_inputs!C862</f>
        <v>717.06259456881708</v>
      </c>
      <c r="C862">
        <f>Data_inputs!B862*K_factor</f>
        <v>3209.9747610532063</v>
      </c>
      <c r="D862">
        <f>Data_inputs!C862*K_factor</f>
        <v>1683.1358773512293</v>
      </c>
      <c r="E862">
        <f t="shared" si="26"/>
        <v>1526.838883701977</v>
      </c>
      <c r="F862">
        <f>Data_inputs!G862-Data_inputs!H862</f>
        <v>163.94976070313805</v>
      </c>
      <c r="G862">
        <f t="shared" si="27"/>
        <v>349.09765411164767</v>
      </c>
    </row>
    <row r="863" spans="1:7" x14ac:dyDescent="0.3">
      <c r="A863">
        <f>Data_inputs!A863</f>
        <v>860</v>
      </c>
      <c r="B863">
        <f>Data_inputs!B863-Data_inputs!C863</f>
        <v>420.15417431263381</v>
      </c>
      <c r="C863">
        <f>Data_inputs!B863*K_factor</f>
        <v>2272.5343801322651</v>
      </c>
      <c r="D863">
        <f>Data_inputs!C863*K_factor</f>
        <v>1377.9015609765286</v>
      </c>
      <c r="E863">
        <f t="shared" si="26"/>
        <v>894.63281915573657</v>
      </c>
      <c r="F863">
        <f>Data_inputs!G863-Data_inputs!H863</f>
        <v>341.22618524748418</v>
      </c>
      <c r="G863">
        <f t="shared" si="27"/>
        <v>726.57172709788063</v>
      </c>
    </row>
    <row r="864" spans="1:7" x14ac:dyDescent="0.3">
      <c r="A864">
        <f>Data_inputs!A864</f>
        <v>861</v>
      </c>
      <c r="B864">
        <f>Data_inputs!B864-Data_inputs!C864</f>
        <v>110.69282892819609</v>
      </c>
      <c r="C864">
        <f>Data_inputs!B864*K_factor</f>
        <v>1265.8082151788547</v>
      </c>
      <c r="D864">
        <f>Data_inputs!C864*K_factor</f>
        <v>1030.1103602988776</v>
      </c>
      <c r="E864">
        <f t="shared" si="26"/>
        <v>235.69785487997706</v>
      </c>
      <c r="F864">
        <f>Data_inputs!G864-Data_inputs!H864</f>
        <v>161.60288955015994</v>
      </c>
      <c r="G864">
        <f t="shared" si="27"/>
        <v>344.10046954429458</v>
      </c>
    </row>
    <row r="865" spans="1:7" x14ac:dyDescent="0.3">
      <c r="A865">
        <f>Data_inputs!A865</f>
        <v>862</v>
      </c>
      <c r="B865">
        <f>Data_inputs!B865-Data_inputs!C865</f>
        <v>424.67839375794335</v>
      </c>
      <c r="C865">
        <f>Data_inputs!B865*K_factor</f>
        <v>2905.3098871407888</v>
      </c>
      <c r="D865">
        <f>Data_inputs!C865*K_factor</f>
        <v>2001.0436632867456</v>
      </c>
      <c r="E865">
        <f t="shared" si="26"/>
        <v>904.26622385404312</v>
      </c>
      <c r="F865">
        <f>Data_inputs!G865-Data_inputs!H865</f>
        <v>368.85565630822521</v>
      </c>
      <c r="G865">
        <f t="shared" si="27"/>
        <v>785.40306354072618</v>
      </c>
    </row>
    <row r="866" spans="1:7" x14ac:dyDescent="0.3">
      <c r="A866">
        <f>Data_inputs!A866</f>
        <v>863</v>
      </c>
      <c r="B866">
        <f>Data_inputs!B866-Data_inputs!C866</f>
        <v>365.53405864103672</v>
      </c>
      <c r="C866">
        <f>Data_inputs!B866*K_factor</f>
        <v>2802.8458850777834</v>
      </c>
      <c r="D866">
        <f>Data_inputs!C866*K_factor</f>
        <v>2024.515487874264</v>
      </c>
      <c r="E866">
        <f t="shared" si="26"/>
        <v>778.3303972035194</v>
      </c>
      <c r="F866">
        <f>Data_inputs!G866-Data_inputs!H866</f>
        <v>168.31322373782723</v>
      </c>
      <c r="G866">
        <f t="shared" si="27"/>
        <v>358.38876074504532</v>
      </c>
    </row>
    <row r="867" spans="1:7" x14ac:dyDescent="0.3">
      <c r="A867">
        <f>Data_inputs!A867</f>
        <v>864</v>
      </c>
      <c r="B867">
        <f>Data_inputs!B867-Data_inputs!C867</f>
        <v>206.29629670030079</v>
      </c>
      <c r="C867">
        <f>Data_inputs!B867*K_factor</f>
        <v>1400.9707677121955</v>
      </c>
      <c r="D867">
        <f>Data_inputs!C867*K_factor</f>
        <v>961.70478207653002</v>
      </c>
      <c r="E867">
        <f t="shared" si="26"/>
        <v>439.26598563566552</v>
      </c>
      <c r="F867">
        <f>Data_inputs!G867-Data_inputs!H867</f>
        <v>307.01398189419979</v>
      </c>
      <c r="G867">
        <f t="shared" si="27"/>
        <v>653.72380172488784</v>
      </c>
    </row>
    <row r="868" spans="1:7" x14ac:dyDescent="0.3">
      <c r="A868">
        <f>Data_inputs!A868</f>
        <v>865</v>
      </c>
      <c r="B868">
        <f>Data_inputs!B868-Data_inputs!C868</f>
        <v>355.77123368686057</v>
      </c>
      <c r="C868">
        <f>Data_inputs!B868*K_factor</f>
        <v>2496.351920904925</v>
      </c>
      <c r="D868">
        <f>Data_inputs!C868*K_factor</f>
        <v>1738.8094728535652</v>
      </c>
      <c r="E868">
        <f t="shared" si="26"/>
        <v>757.54244805135977</v>
      </c>
      <c r="F868">
        <f>Data_inputs!G868-Data_inputs!H868</f>
        <v>261.66151659150228</v>
      </c>
      <c r="G868">
        <f t="shared" si="27"/>
        <v>557.15495540604979</v>
      </c>
    </row>
    <row r="869" spans="1:7" x14ac:dyDescent="0.3">
      <c r="A869">
        <f>Data_inputs!A869</f>
        <v>866</v>
      </c>
      <c r="B869">
        <f>Data_inputs!B869-Data_inputs!C869</f>
        <v>442.66206326036183</v>
      </c>
      <c r="C869">
        <f>Data_inputs!B869*K_factor</f>
        <v>2381.9244353288886</v>
      </c>
      <c r="D869">
        <f>Data_inputs!C869*K_factor</f>
        <v>1439.365646675187</v>
      </c>
      <c r="E869">
        <f t="shared" si="26"/>
        <v>942.55878865370164</v>
      </c>
      <c r="F869">
        <f>Data_inputs!G869-Data_inputs!H869</f>
        <v>518.36086215920704</v>
      </c>
      <c r="G869">
        <f t="shared" si="27"/>
        <v>1103.7439773439494</v>
      </c>
    </row>
    <row r="870" spans="1:7" x14ac:dyDescent="0.3">
      <c r="A870">
        <f>Data_inputs!A870</f>
        <v>867</v>
      </c>
      <c r="B870">
        <f>Data_inputs!B870-Data_inputs!C870</f>
        <v>246.21992867067752</v>
      </c>
      <c r="C870">
        <f>Data_inputs!B870*K_factor</f>
        <v>1917.6077197256791</v>
      </c>
      <c r="D870">
        <f>Data_inputs!C870*K_factor</f>
        <v>1393.3324836665786</v>
      </c>
      <c r="E870">
        <f t="shared" si="26"/>
        <v>524.27523605910051</v>
      </c>
      <c r="F870">
        <f>Data_inputs!G870-Data_inputs!H870</f>
        <v>89.129154970501077</v>
      </c>
      <c r="G870">
        <f t="shared" si="27"/>
        <v>189.78239906976503</v>
      </c>
    </row>
    <row r="871" spans="1:7" x14ac:dyDescent="0.3">
      <c r="A871">
        <f>Data_inputs!A871</f>
        <v>868</v>
      </c>
      <c r="B871">
        <f>Data_inputs!B871-Data_inputs!C871</f>
        <v>235.66477170967005</v>
      </c>
      <c r="C871">
        <f>Data_inputs!B871*K_factor</f>
        <v>2370.179962081952</v>
      </c>
      <c r="D871">
        <f>Data_inputs!C871*K_factor</f>
        <v>1868.3797849559348</v>
      </c>
      <c r="E871">
        <f t="shared" si="26"/>
        <v>501.80017712601716</v>
      </c>
      <c r="F871">
        <f>Data_inputs!G871-Data_inputs!H871</f>
        <v>249.44790789144463</v>
      </c>
      <c r="G871">
        <f t="shared" si="27"/>
        <v>531.14856096459619</v>
      </c>
    </row>
    <row r="872" spans="1:7" x14ac:dyDescent="0.3">
      <c r="A872">
        <f>Data_inputs!A872</f>
        <v>869</v>
      </c>
      <c r="B872">
        <f>Data_inputs!B872-Data_inputs!C872</f>
        <v>238.10270288724087</v>
      </c>
      <c r="C872">
        <f>Data_inputs!B872*K_factor</f>
        <v>1801.7856279960174</v>
      </c>
      <c r="D872">
        <f>Data_inputs!C872*K_factor</f>
        <v>1294.7943725096197</v>
      </c>
      <c r="E872">
        <f t="shared" si="26"/>
        <v>506.99125548639768</v>
      </c>
      <c r="F872">
        <f>Data_inputs!G872-Data_inputs!H872</f>
        <v>155.49027437271297</v>
      </c>
      <c r="G872">
        <f t="shared" si="27"/>
        <v>331.08489934899666</v>
      </c>
    </row>
    <row r="873" spans="1:7" x14ac:dyDescent="0.3">
      <c r="A873">
        <f>Data_inputs!A873</f>
        <v>870</v>
      </c>
      <c r="B873">
        <f>Data_inputs!B873-Data_inputs!C873</f>
        <v>37.046065358499618</v>
      </c>
      <c r="C873">
        <f>Data_inputs!B873*K_factor</f>
        <v>1853.1082950758378</v>
      </c>
      <c r="D873">
        <f>Data_inputs!C873*K_factor</f>
        <v>1774.2262372109526</v>
      </c>
      <c r="E873">
        <f t="shared" si="26"/>
        <v>78.882057864885155</v>
      </c>
      <c r="F873">
        <f>Data_inputs!G873-Data_inputs!H873</f>
        <v>264.04362588636798</v>
      </c>
      <c r="G873">
        <f t="shared" si="27"/>
        <v>562.22717242612168</v>
      </c>
    </row>
    <row r="874" spans="1:7" x14ac:dyDescent="0.3">
      <c r="A874">
        <f>Data_inputs!A874</f>
        <v>871</v>
      </c>
      <c r="B874">
        <f>Data_inputs!B874-Data_inputs!C874</f>
        <v>385.53548597637132</v>
      </c>
      <c r="C874">
        <f>Data_inputs!B874*K_factor</f>
        <v>2493.4177799134968</v>
      </c>
      <c r="D874">
        <f>Data_inputs!C874*K_factor</f>
        <v>1672.4984131884366</v>
      </c>
      <c r="E874">
        <f t="shared" si="26"/>
        <v>820.91936672506017</v>
      </c>
      <c r="F874">
        <f>Data_inputs!G874-Data_inputs!H874</f>
        <v>357.87836043987727</v>
      </c>
      <c r="G874">
        <f t="shared" si="27"/>
        <v>762.0291457033677</v>
      </c>
    </row>
    <row r="875" spans="1:7" x14ac:dyDescent="0.3">
      <c r="A875">
        <f>Data_inputs!A875</f>
        <v>872</v>
      </c>
      <c r="B875">
        <f>Data_inputs!B875-Data_inputs!C875</f>
        <v>595.77222329552217</v>
      </c>
      <c r="C875">
        <f>Data_inputs!B875*K_factor</f>
        <v>2859.8791310071647</v>
      </c>
      <c r="D875">
        <f>Data_inputs!C875*K_factor</f>
        <v>1591.3034121688834</v>
      </c>
      <c r="E875">
        <f t="shared" si="26"/>
        <v>1268.5757188382813</v>
      </c>
      <c r="F875">
        <f>Data_inputs!G875-Data_inputs!H875</f>
        <v>452.38491223567917</v>
      </c>
      <c r="G875">
        <f t="shared" si="27"/>
        <v>963.26161709339078</v>
      </c>
    </row>
    <row r="876" spans="1:7" x14ac:dyDescent="0.3">
      <c r="A876">
        <f>Data_inputs!A876</f>
        <v>873</v>
      </c>
      <c r="B876">
        <f>Data_inputs!B876-Data_inputs!C876</f>
        <v>274.09861629530525</v>
      </c>
      <c r="C876">
        <f>Data_inputs!B876*K_factor</f>
        <v>1275.1723566806679</v>
      </c>
      <c r="D876">
        <f>Data_inputs!C876*K_factor</f>
        <v>691.53512821774018</v>
      </c>
      <c r="E876">
        <f t="shared" si="26"/>
        <v>583.63722846292774</v>
      </c>
      <c r="F876">
        <f>Data_inputs!G876-Data_inputs!H876</f>
        <v>104.19090048085923</v>
      </c>
      <c r="G876">
        <f t="shared" si="27"/>
        <v>221.85332129583225</v>
      </c>
    </row>
    <row r="877" spans="1:7" x14ac:dyDescent="0.3">
      <c r="A877">
        <f>Data_inputs!A877</f>
        <v>874</v>
      </c>
      <c r="B877">
        <f>Data_inputs!B877-Data_inputs!C877</f>
        <v>189.97157907448445</v>
      </c>
      <c r="C877">
        <f>Data_inputs!B877*K_factor</f>
        <v>1466.8052001368096</v>
      </c>
      <c r="D877">
        <f>Data_inputs!C877*K_factor</f>
        <v>1062.2993788512863</v>
      </c>
      <c r="E877">
        <f t="shared" si="26"/>
        <v>404.50582128552333</v>
      </c>
      <c r="F877">
        <f>Data_inputs!G877-Data_inputs!H877</f>
        <v>163.20634495003219</v>
      </c>
      <c r="G877">
        <f t="shared" si="27"/>
        <v>347.51470153931172</v>
      </c>
    </row>
    <row r="878" spans="1:7" x14ac:dyDescent="0.3">
      <c r="A878">
        <f>Data_inputs!A878</f>
        <v>875</v>
      </c>
      <c r="B878">
        <f>Data_inputs!B878-Data_inputs!C878</f>
        <v>412.2258239839598</v>
      </c>
      <c r="C878">
        <f>Data_inputs!B878*K_factor</f>
        <v>1891.6410519860242</v>
      </c>
      <c r="D878">
        <f>Data_inputs!C878*K_factor</f>
        <v>1013.8900415553825</v>
      </c>
      <c r="E878">
        <f t="shared" si="26"/>
        <v>877.75101043064171</v>
      </c>
      <c r="F878">
        <f>Data_inputs!G878-Data_inputs!H878</f>
        <v>348.16367439888995</v>
      </c>
      <c r="G878">
        <f t="shared" si="27"/>
        <v>741.34369857130037</v>
      </c>
    </row>
    <row r="879" spans="1:7" x14ac:dyDescent="0.3">
      <c r="A879">
        <f>Data_inputs!A879</f>
        <v>876</v>
      </c>
      <c r="B879">
        <f>Data_inputs!B879-Data_inputs!C879</f>
        <v>433.35448798374887</v>
      </c>
      <c r="C879">
        <f>Data_inputs!B879*K_factor</f>
        <v>2910.6310561172445</v>
      </c>
      <c r="D879">
        <f>Data_inputs!C879*K_factor</f>
        <v>1987.8908550637805</v>
      </c>
      <c r="E879">
        <f t="shared" si="26"/>
        <v>922.74020105346403</v>
      </c>
      <c r="F879">
        <f>Data_inputs!G879-Data_inputs!H879</f>
        <v>581.97037510336668</v>
      </c>
      <c r="G879">
        <f t="shared" si="27"/>
        <v>1239.187491581208</v>
      </c>
    </row>
    <row r="880" spans="1:7" x14ac:dyDescent="0.3">
      <c r="A880">
        <f>Data_inputs!A880</f>
        <v>877</v>
      </c>
      <c r="B880">
        <f>Data_inputs!B880-Data_inputs!C880</f>
        <v>392.45680215425284</v>
      </c>
      <c r="C880">
        <f>Data_inputs!B880*K_factor</f>
        <v>2458.5190475803633</v>
      </c>
      <c r="D880">
        <f>Data_inputs!C880*K_factor</f>
        <v>1622.8621464380469</v>
      </c>
      <c r="E880">
        <f t="shared" si="26"/>
        <v>835.65690114231643</v>
      </c>
      <c r="F880">
        <f>Data_inputs!G880-Data_inputs!H880</f>
        <v>264.54418834641797</v>
      </c>
      <c r="G880">
        <f t="shared" si="27"/>
        <v>563.29301832788065</v>
      </c>
    </row>
    <row r="881" spans="1:7" x14ac:dyDescent="0.3">
      <c r="A881">
        <f>Data_inputs!A881</f>
        <v>878</v>
      </c>
      <c r="B881">
        <f>Data_inputs!B881-Data_inputs!C881</f>
        <v>350.2260114881658</v>
      </c>
      <c r="C881">
        <f>Data_inputs!B881*K_factor</f>
        <v>2392.6430218323644</v>
      </c>
      <c r="D881">
        <f>Data_inputs!C881*K_factor</f>
        <v>1646.9079960839706</v>
      </c>
      <c r="E881">
        <f t="shared" si="26"/>
        <v>745.73502574839381</v>
      </c>
      <c r="F881">
        <f>Data_inputs!G881-Data_inputs!H881</f>
        <v>405.44891039761796</v>
      </c>
      <c r="G881">
        <f t="shared" si="27"/>
        <v>863.32095194831788</v>
      </c>
    </row>
    <row r="882" spans="1:7" x14ac:dyDescent="0.3">
      <c r="A882">
        <f>Data_inputs!A882</f>
        <v>879</v>
      </c>
      <c r="B882">
        <f>Data_inputs!B882-Data_inputs!C882</f>
        <v>1476.5854837625589</v>
      </c>
      <c r="C882">
        <f>Data_inputs!B882*K_factor</f>
        <v>5095.6374497750185</v>
      </c>
      <c r="D882">
        <f>Data_inputs!C882*K_factor</f>
        <v>1951.5491249973941</v>
      </c>
      <c r="E882">
        <f t="shared" si="26"/>
        <v>3144.0883247776246</v>
      </c>
      <c r="F882">
        <f>Data_inputs!G882-Data_inputs!H882</f>
        <v>98.709431942148058</v>
      </c>
      <c r="G882">
        <f t="shared" si="27"/>
        <v>210.18164943889221</v>
      </c>
    </row>
    <row r="883" spans="1:7" x14ac:dyDescent="0.3">
      <c r="A883">
        <f>Data_inputs!A883</f>
        <v>880</v>
      </c>
      <c r="B883">
        <f>Data_inputs!B883-Data_inputs!C883</f>
        <v>234.41615293394955</v>
      </c>
      <c r="C883">
        <f>Data_inputs!B883*K_factor</f>
        <v>1942.0190748388693</v>
      </c>
      <c r="D883">
        <f>Data_inputs!C883*K_factor</f>
        <v>1442.8775773206439</v>
      </c>
      <c r="E883">
        <f t="shared" si="26"/>
        <v>499.14149751822538</v>
      </c>
      <c r="F883">
        <f>Data_inputs!G883-Data_inputs!H883</f>
        <v>214.78226273124505</v>
      </c>
      <c r="G883">
        <f t="shared" si="27"/>
        <v>457.33512353235216</v>
      </c>
    </row>
    <row r="884" spans="1:7" x14ac:dyDescent="0.3">
      <c r="A884">
        <f>Data_inputs!A884</f>
        <v>881</v>
      </c>
      <c r="B884">
        <f>Data_inputs!B884-Data_inputs!C884</f>
        <v>509.59239983561537</v>
      </c>
      <c r="C884">
        <f>Data_inputs!B884*K_factor</f>
        <v>2022.9442767085136</v>
      </c>
      <c r="D884">
        <f>Data_inputs!C884*K_factor</f>
        <v>937.87095563270498</v>
      </c>
      <c r="E884">
        <f t="shared" si="26"/>
        <v>1085.0733210758085</v>
      </c>
      <c r="F884">
        <f>Data_inputs!G884-Data_inputs!H884</f>
        <v>348.71523101990306</v>
      </c>
      <c r="G884">
        <f t="shared" si="27"/>
        <v>742.51812616228699</v>
      </c>
    </row>
    <row r="885" spans="1:7" x14ac:dyDescent="0.3">
      <c r="A885">
        <f>Data_inputs!A885</f>
        <v>882</v>
      </c>
      <c r="B885">
        <f>Data_inputs!B885-Data_inputs!C885</f>
        <v>383.40604184787395</v>
      </c>
      <c r="C885">
        <f>Data_inputs!B885*K_factor</f>
        <v>1901.92281022418</v>
      </c>
      <c r="D885">
        <f>Data_inputs!C885*K_factor</f>
        <v>1085.537661460964</v>
      </c>
      <c r="E885">
        <f t="shared" si="26"/>
        <v>816.38514876321597</v>
      </c>
      <c r="F885">
        <f>Data_inputs!G885-Data_inputs!H885</f>
        <v>308.79844329900288</v>
      </c>
      <c r="G885">
        <f t="shared" si="27"/>
        <v>657.52344917541075</v>
      </c>
    </row>
    <row r="886" spans="1:7" x14ac:dyDescent="0.3">
      <c r="A886">
        <f>Data_inputs!A886</f>
        <v>883</v>
      </c>
      <c r="B886">
        <f>Data_inputs!B886-Data_inputs!C886</f>
        <v>303.52388978001557</v>
      </c>
      <c r="C886">
        <f>Data_inputs!B886*K_factor</f>
        <v>1781.4928435433721</v>
      </c>
      <c r="D886">
        <f>Data_inputs!C886*K_factor</f>
        <v>1135.2004827944879</v>
      </c>
      <c r="E886">
        <f t="shared" si="26"/>
        <v>646.29236074888422</v>
      </c>
      <c r="F886">
        <f>Data_inputs!G886-Data_inputs!H886</f>
        <v>268.6116506089752</v>
      </c>
      <c r="G886">
        <f t="shared" si="27"/>
        <v>571.95385154871997</v>
      </c>
    </row>
    <row r="887" spans="1:7" x14ac:dyDescent="0.3">
      <c r="A887">
        <f>Data_inputs!A887</f>
        <v>884</v>
      </c>
      <c r="B887">
        <f>Data_inputs!B887-Data_inputs!C887</f>
        <v>998.48419377932703</v>
      </c>
      <c r="C887">
        <f>Data_inputs!B887*K_factor</f>
        <v>4173.5397963626519</v>
      </c>
      <c r="D887">
        <f>Data_inputs!C887*K_factor</f>
        <v>2047.4708821964891</v>
      </c>
      <c r="E887">
        <f t="shared" si="26"/>
        <v>2126.0689141661628</v>
      </c>
      <c r="F887">
        <f>Data_inputs!G887-Data_inputs!H887</f>
        <v>141.2260458131791</v>
      </c>
      <c r="G887">
        <f t="shared" si="27"/>
        <v>300.71212718702833</v>
      </c>
    </row>
    <row r="888" spans="1:7" x14ac:dyDescent="0.3">
      <c r="A888">
        <f>Data_inputs!A888</f>
        <v>885</v>
      </c>
      <c r="B888">
        <f>Data_inputs!B888-Data_inputs!C888</f>
        <v>218.26609125576658</v>
      </c>
      <c r="C888">
        <f>Data_inputs!B888*K_factor</f>
        <v>2008.8832764644008</v>
      </c>
      <c r="D888">
        <f>Data_inputs!C888*K_factor</f>
        <v>1544.1300489956857</v>
      </c>
      <c r="E888">
        <f t="shared" si="26"/>
        <v>464.75322746871507</v>
      </c>
      <c r="F888">
        <f>Data_inputs!G888-Data_inputs!H888</f>
        <v>193.79965117802408</v>
      </c>
      <c r="G888">
        <f t="shared" si="27"/>
        <v>412.65692187502464</v>
      </c>
    </row>
    <row r="889" spans="1:7" x14ac:dyDescent="0.3">
      <c r="A889">
        <f>Data_inputs!A889</f>
        <v>886</v>
      </c>
      <c r="B889">
        <f>Data_inputs!B889-Data_inputs!C889</f>
        <v>426.73891114700075</v>
      </c>
      <c r="C889">
        <f>Data_inputs!B889*K_factor</f>
        <v>2599.2563317081153</v>
      </c>
      <c r="D889">
        <f>Data_inputs!C889*K_factor</f>
        <v>1690.6026553583126</v>
      </c>
      <c r="E889">
        <f t="shared" si="26"/>
        <v>908.65367634980271</v>
      </c>
      <c r="F889">
        <f>Data_inputs!G889-Data_inputs!H889</f>
        <v>427.76726121282582</v>
      </c>
      <c r="G889">
        <f t="shared" si="27"/>
        <v>910.84333856123544</v>
      </c>
    </row>
    <row r="890" spans="1:7" x14ac:dyDescent="0.3">
      <c r="A890">
        <f>Data_inputs!A890</f>
        <v>887</v>
      </c>
      <c r="B890">
        <f>Data_inputs!B890-Data_inputs!C890</f>
        <v>436.15528370836682</v>
      </c>
      <c r="C890">
        <f>Data_inputs!B890*K_factor</f>
        <v>2062.2350653512226</v>
      </c>
      <c r="D890">
        <f>Data_inputs!C890*K_factor</f>
        <v>1133.5311397219084</v>
      </c>
      <c r="E890">
        <f t="shared" si="26"/>
        <v>928.7039256293142</v>
      </c>
      <c r="F890">
        <f>Data_inputs!G890-Data_inputs!H890</f>
        <v>344.29652486236319</v>
      </c>
      <c r="G890">
        <f t="shared" si="27"/>
        <v>733.10939053992183</v>
      </c>
    </row>
    <row r="891" spans="1:7" x14ac:dyDescent="0.3">
      <c r="A891">
        <f>Data_inputs!A891</f>
        <v>888</v>
      </c>
      <c r="B891">
        <f>Data_inputs!B891-Data_inputs!C891</f>
        <v>302.47943675943679</v>
      </c>
      <c r="C891">
        <f>Data_inputs!B891*K_factor</f>
        <v>2509.1156173765662</v>
      </c>
      <c r="D891">
        <f>Data_inputs!C891*K_factor</f>
        <v>1865.047206804554</v>
      </c>
      <c r="E891">
        <f t="shared" si="26"/>
        <v>644.06841057201223</v>
      </c>
      <c r="F891">
        <f>Data_inputs!G891-Data_inputs!H891</f>
        <v>186.10447283439862</v>
      </c>
      <c r="G891">
        <f t="shared" si="27"/>
        <v>396.27160544510571</v>
      </c>
    </row>
    <row r="892" spans="1:7" x14ac:dyDescent="0.3">
      <c r="A892">
        <f>Data_inputs!A892</f>
        <v>889</v>
      </c>
      <c r="B892">
        <f>Data_inputs!B892-Data_inputs!C892</f>
        <v>241.62811553341686</v>
      </c>
      <c r="C892">
        <f>Data_inputs!B892*K_factor</f>
        <v>1375.9969179236411</v>
      </c>
      <c r="D892">
        <f>Data_inputs!C892*K_factor</f>
        <v>861.49901357555939</v>
      </c>
      <c r="E892">
        <f t="shared" si="26"/>
        <v>514.49790434808176</v>
      </c>
      <c r="F892">
        <f>Data_inputs!G892-Data_inputs!H892</f>
        <v>195.60903710457706</v>
      </c>
      <c r="G892">
        <f t="shared" si="27"/>
        <v>416.50964102284945</v>
      </c>
    </row>
    <row r="893" spans="1:7" x14ac:dyDescent="0.3">
      <c r="A893">
        <f>Data_inputs!A893</f>
        <v>890</v>
      </c>
      <c r="B893">
        <f>Data_inputs!B893-Data_inputs!C893</f>
        <v>1103.6007709028158</v>
      </c>
      <c r="C893">
        <f>Data_inputs!B893*K_factor</f>
        <v>4060.2157559728544</v>
      </c>
      <c r="D893">
        <f>Data_inputs!C893*K_factor</f>
        <v>1710.3224804616273</v>
      </c>
      <c r="E893">
        <f t="shared" si="26"/>
        <v>2349.8932755112273</v>
      </c>
      <c r="F893">
        <f>Data_inputs!G893-Data_inputs!H893</f>
        <v>262.00539260030791</v>
      </c>
      <c r="G893">
        <f t="shared" si="27"/>
        <v>557.88716939321557</v>
      </c>
    </row>
    <row r="894" spans="1:7" x14ac:dyDescent="0.3">
      <c r="A894">
        <f>Data_inputs!A894</f>
        <v>891</v>
      </c>
      <c r="B894">
        <f>Data_inputs!B894-Data_inputs!C894</f>
        <v>442.12474174739668</v>
      </c>
      <c r="C894">
        <f>Data_inputs!B894*K_factor</f>
        <v>2815.1568751147606</v>
      </c>
      <c r="D894">
        <f>Data_inputs!C894*K_factor</f>
        <v>1873.7422032860873</v>
      </c>
      <c r="E894">
        <f t="shared" si="26"/>
        <v>941.41467182867336</v>
      </c>
      <c r="F894">
        <f>Data_inputs!G894-Data_inputs!H894</f>
        <v>346.24028896279606</v>
      </c>
      <c r="G894">
        <f t="shared" si="27"/>
        <v>737.24824066509052</v>
      </c>
    </row>
    <row r="895" spans="1:7" x14ac:dyDescent="0.3">
      <c r="A895">
        <f>Data_inputs!A895</f>
        <v>892</v>
      </c>
      <c r="B895">
        <f>Data_inputs!B895-Data_inputs!C895</f>
        <v>437.77695491809914</v>
      </c>
      <c r="C895">
        <f>Data_inputs!B895*K_factor</f>
        <v>2329.1404594649698</v>
      </c>
      <c r="D895">
        <f>Data_inputs!C895*K_factor</f>
        <v>1396.9835149801843</v>
      </c>
      <c r="E895">
        <f t="shared" si="26"/>
        <v>932.15694448478553</v>
      </c>
      <c r="F895">
        <f>Data_inputs!G895-Data_inputs!H895</f>
        <v>253.59305811613103</v>
      </c>
      <c r="G895">
        <f t="shared" si="27"/>
        <v>539.97481489246002</v>
      </c>
    </row>
    <row r="896" spans="1:7" x14ac:dyDescent="0.3">
      <c r="A896">
        <f>Data_inputs!A896</f>
        <v>893</v>
      </c>
      <c r="B896">
        <f>Data_inputs!B896-Data_inputs!C896</f>
        <v>1252.1870137240101</v>
      </c>
      <c r="C896">
        <f>Data_inputs!B896*K_factor</f>
        <v>4501.2824879608388</v>
      </c>
      <c r="D896">
        <f>Data_inputs!C896*K_factor</f>
        <v>1835.0050434231932</v>
      </c>
      <c r="E896">
        <f t="shared" si="26"/>
        <v>2666.2774445376454</v>
      </c>
      <c r="F896">
        <f>Data_inputs!G896-Data_inputs!H896</f>
        <v>67.657631542605941</v>
      </c>
      <c r="G896">
        <f t="shared" si="27"/>
        <v>144.06315906151778</v>
      </c>
    </row>
    <row r="897" spans="1:7" x14ac:dyDescent="0.3">
      <c r="A897">
        <f>Data_inputs!A897</f>
        <v>894</v>
      </c>
      <c r="B897">
        <f>Data_inputs!B897-Data_inputs!C897</f>
        <v>406.65884460441509</v>
      </c>
      <c r="C897">
        <f>Data_inputs!B897*K_factor</f>
        <v>2276.8957254164116</v>
      </c>
      <c r="D897">
        <f>Data_inputs!C897*K_factor</f>
        <v>1410.9984647780971</v>
      </c>
      <c r="E897">
        <f t="shared" si="26"/>
        <v>865.89726063831449</v>
      </c>
      <c r="F897">
        <f>Data_inputs!G897-Data_inputs!H897</f>
        <v>313.53919963064482</v>
      </c>
      <c r="G897">
        <f t="shared" si="27"/>
        <v>667.61792511116892</v>
      </c>
    </row>
    <row r="898" spans="1:7" x14ac:dyDescent="0.3">
      <c r="A898">
        <f>Data_inputs!A898</f>
        <v>895</v>
      </c>
      <c r="B898">
        <f>Data_inputs!B898-Data_inputs!C898</f>
        <v>365.38162463536673</v>
      </c>
      <c r="C898">
        <f>Data_inputs!B898*K_factor</f>
        <v>2200.6919925217317</v>
      </c>
      <c r="D898">
        <f>Data_inputs!C898*K_factor</f>
        <v>1422.6861725152637</v>
      </c>
      <c r="E898">
        <f t="shared" si="26"/>
        <v>778.00582000646796</v>
      </c>
      <c r="F898">
        <f>Data_inputs!G898-Data_inputs!H898</f>
        <v>294.38550037152686</v>
      </c>
      <c r="G898">
        <f t="shared" si="27"/>
        <v>626.83402002804246</v>
      </c>
    </row>
    <row r="899" spans="1:7" x14ac:dyDescent="0.3">
      <c r="A899">
        <f>Data_inputs!A899</f>
        <v>896</v>
      </c>
      <c r="B899">
        <f>Data_inputs!B899-Data_inputs!C899</f>
        <v>695.49775751092693</v>
      </c>
      <c r="C899">
        <f>Data_inputs!B899*K_factor</f>
        <v>2842.3570825179604</v>
      </c>
      <c r="D899">
        <f>Data_inputs!C899*K_factor</f>
        <v>1361.4361312113874</v>
      </c>
      <c r="E899">
        <f t="shared" si="26"/>
        <v>1480.920951306573</v>
      </c>
      <c r="F899">
        <f>Data_inputs!G899-Data_inputs!H899</f>
        <v>451.39124500904904</v>
      </c>
      <c r="G899">
        <f t="shared" si="27"/>
        <v>961.14580493058861</v>
      </c>
    </row>
    <row r="900" spans="1:7" x14ac:dyDescent="0.3">
      <c r="A900">
        <f>Data_inputs!A900</f>
        <v>897</v>
      </c>
      <c r="B900">
        <f>Data_inputs!B900-Data_inputs!C900</f>
        <v>169.52058490250306</v>
      </c>
      <c r="C900">
        <f>Data_inputs!B900*K_factor</f>
        <v>1494.4999446675847</v>
      </c>
      <c r="D900">
        <f>Data_inputs!C900*K_factor</f>
        <v>1133.540354002165</v>
      </c>
      <c r="E900">
        <f t="shared" ref="E900:E963" si="28">C900-D900</f>
        <v>360.95959066541968</v>
      </c>
      <c r="F900">
        <f>Data_inputs!G900-Data_inputs!H900</f>
        <v>137.35745283533402</v>
      </c>
      <c r="G900">
        <f t="shared" ref="G900:G963" si="29">F900*K_factor</f>
        <v>292.47474564108097</v>
      </c>
    </row>
    <row r="901" spans="1:7" x14ac:dyDescent="0.3">
      <c r="A901">
        <f>Data_inputs!A901</f>
        <v>898</v>
      </c>
      <c r="B901">
        <f>Data_inputs!B901-Data_inputs!C901</f>
        <v>294.3148454542619</v>
      </c>
      <c r="C901">
        <f>Data_inputs!B901*K_factor</f>
        <v>1964.0431665483086</v>
      </c>
      <c r="D901">
        <f>Data_inputs!C901*K_factor</f>
        <v>1337.3595917893708</v>
      </c>
      <c r="E901">
        <f t="shared" si="28"/>
        <v>626.68357475893777</v>
      </c>
      <c r="F901">
        <f>Data_inputs!G901-Data_inputs!H901</f>
        <v>292.69979279640393</v>
      </c>
      <c r="G901">
        <f t="shared" si="29"/>
        <v>623.24464876290722</v>
      </c>
    </row>
    <row r="902" spans="1:7" x14ac:dyDescent="0.3">
      <c r="A902">
        <f>Data_inputs!A902</f>
        <v>899</v>
      </c>
      <c r="B902">
        <f>Data_inputs!B902-Data_inputs!C902</f>
        <v>222.55990551109778</v>
      </c>
      <c r="C902">
        <f>Data_inputs!B902*K_factor</f>
        <v>1558.1100098540705</v>
      </c>
      <c r="D902">
        <f>Data_inputs!C902*K_factor</f>
        <v>1084.2139786551236</v>
      </c>
      <c r="E902">
        <f t="shared" si="28"/>
        <v>473.89603119894696</v>
      </c>
      <c r="F902">
        <f>Data_inputs!G902-Data_inputs!H902</f>
        <v>176.87009356986891</v>
      </c>
      <c r="G902">
        <f t="shared" si="29"/>
        <v>376.60887385831381</v>
      </c>
    </row>
    <row r="903" spans="1:7" x14ac:dyDescent="0.3">
      <c r="A903">
        <f>Data_inputs!A903</f>
        <v>900</v>
      </c>
      <c r="B903">
        <f>Data_inputs!B903-Data_inputs!C903</f>
        <v>966.74139749111396</v>
      </c>
      <c r="C903">
        <f>Data_inputs!B903*K_factor</f>
        <v>4022.9799820375347</v>
      </c>
      <c r="D903">
        <f>Data_inputs!C903*K_factor</f>
        <v>1964.500893386421</v>
      </c>
      <c r="E903">
        <f t="shared" si="28"/>
        <v>2058.4790886511137</v>
      </c>
      <c r="F903">
        <f>Data_inputs!G903-Data_inputs!H903</f>
        <v>26.69069178895802</v>
      </c>
      <c r="G903">
        <f t="shared" si="29"/>
        <v>56.832397011018742</v>
      </c>
    </row>
    <row r="904" spans="1:7" x14ac:dyDescent="0.3">
      <c r="A904">
        <f>Data_inputs!A904</f>
        <v>901</v>
      </c>
      <c r="B904">
        <f>Data_inputs!B904-Data_inputs!C904</f>
        <v>374.16122830128552</v>
      </c>
      <c r="C904">
        <f>Data_inputs!B904*K_factor</f>
        <v>2150.9805521249332</v>
      </c>
      <c r="D904">
        <f>Data_inputs!C904*K_factor</f>
        <v>1354.2803526289342</v>
      </c>
      <c r="E904">
        <f t="shared" si="28"/>
        <v>796.70019949599896</v>
      </c>
      <c r="F904">
        <f>Data_inputs!G904-Data_inputs!H904</f>
        <v>227.86943558682606</v>
      </c>
      <c r="G904">
        <f t="shared" si="29"/>
        <v>485.20159508585118</v>
      </c>
    </row>
    <row r="905" spans="1:7" x14ac:dyDescent="0.3">
      <c r="A905">
        <f>Data_inputs!A905</f>
        <v>902</v>
      </c>
      <c r="B905">
        <f>Data_inputs!B905-Data_inputs!C905</f>
        <v>1384.7412173491173</v>
      </c>
      <c r="C905">
        <f>Data_inputs!B905*K_factor</f>
        <v>4881.6144893921346</v>
      </c>
      <c r="D905">
        <f>Data_inputs!C905*K_factor</f>
        <v>1933.0898410177531</v>
      </c>
      <c r="E905">
        <f t="shared" si="28"/>
        <v>2948.5246483743813</v>
      </c>
      <c r="F905">
        <f>Data_inputs!G905-Data_inputs!H905</f>
        <v>-44.195699724056453</v>
      </c>
      <c r="G905">
        <f t="shared" si="29"/>
        <v>-94.105749403485362</v>
      </c>
    </row>
    <row r="906" spans="1:7" x14ac:dyDescent="0.3">
      <c r="A906">
        <f>Data_inputs!A906</f>
        <v>903</v>
      </c>
      <c r="B906">
        <f>Data_inputs!B906-Data_inputs!C906</f>
        <v>535.96411626556187</v>
      </c>
      <c r="C906">
        <f>Data_inputs!B906*K_factor</f>
        <v>3862.5256710273743</v>
      </c>
      <c r="D906">
        <f>Data_inputs!C906*K_factor</f>
        <v>2721.2991460608832</v>
      </c>
      <c r="E906">
        <f t="shared" si="28"/>
        <v>1141.2265249664911</v>
      </c>
      <c r="F906">
        <f>Data_inputs!G906-Data_inputs!H906</f>
        <v>76.665101052307818</v>
      </c>
      <c r="G906">
        <f t="shared" si="29"/>
        <v>163.24273249811949</v>
      </c>
    </row>
    <row r="907" spans="1:7" x14ac:dyDescent="0.3">
      <c r="A907">
        <f>Data_inputs!A907</f>
        <v>904</v>
      </c>
      <c r="B907">
        <f>Data_inputs!B907-Data_inputs!C907</f>
        <v>901.11664692740601</v>
      </c>
      <c r="C907">
        <f>Data_inputs!B907*K_factor</f>
        <v>4408.3301685392962</v>
      </c>
      <c r="D907">
        <f>Data_inputs!C907*K_factor</f>
        <v>2489.5856325657824</v>
      </c>
      <c r="E907">
        <f t="shared" si="28"/>
        <v>1918.7445359735138</v>
      </c>
      <c r="F907">
        <f>Data_inputs!G907-Data_inputs!H907</f>
        <v>19.980397390299004</v>
      </c>
      <c r="G907">
        <f t="shared" si="29"/>
        <v>42.54419053286464</v>
      </c>
    </row>
    <row r="908" spans="1:7" x14ac:dyDescent="0.3">
      <c r="A908">
        <f>Data_inputs!A908</f>
        <v>905</v>
      </c>
      <c r="B908">
        <f>Data_inputs!B908-Data_inputs!C908</f>
        <v>361.3428662220341</v>
      </c>
      <c r="C908">
        <f>Data_inputs!B908*K_factor</f>
        <v>2574.8238870015957</v>
      </c>
      <c r="D908">
        <f>Data_inputs!C908*K_factor</f>
        <v>1805.417781209844</v>
      </c>
      <c r="E908">
        <f t="shared" si="28"/>
        <v>769.40610579175177</v>
      </c>
      <c r="F908">
        <f>Data_inputs!G908-Data_inputs!H908</f>
        <v>304.52944708156792</v>
      </c>
      <c r="G908">
        <f t="shared" si="29"/>
        <v>648.4334904067822</v>
      </c>
    </row>
    <row r="909" spans="1:7" x14ac:dyDescent="0.3">
      <c r="A909">
        <f>Data_inputs!A909</f>
        <v>906</v>
      </c>
      <c r="B909">
        <f>Data_inputs!B909-Data_inputs!C909</f>
        <v>715.32619988995384</v>
      </c>
      <c r="C909">
        <f>Data_inputs!B909*K_factor</f>
        <v>3252.724153806741</v>
      </c>
      <c r="D909">
        <f>Data_inputs!C909*K_factor</f>
        <v>1729.5825692432525</v>
      </c>
      <c r="E909">
        <f t="shared" si="28"/>
        <v>1523.1415845634885</v>
      </c>
      <c r="F909">
        <f>Data_inputs!G909-Data_inputs!H909</f>
        <v>645.82731243239277</v>
      </c>
      <c r="G909">
        <f t="shared" si="29"/>
        <v>1375.1578456989059</v>
      </c>
    </row>
    <row r="910" spans="1:7" x14ac:dyDescent="0.3">
      <c r="A910">
        <f>Data_inputs!A910</f>
        <v>907</v>
      </c>
      <c r="B910">
        <f>Data_inputs!B910-Data_inputs!C910</f>
        <v>428.26333030613023</v>
      </c>
      <c r="C910">
        <f>Data_inputs!B910*K_factor</f>
        <v>2281.0984726521165</v>
      </c>
      <c r="D910">
        <f>Data_inputs!C910*K_factor</f>
        <v>1369.1988558992743</v>
      </c>
      <c r="E910">
        <f t="shared" si="28"/>
        <v>911.89961675284212</v>
      </c>
      <c r="F910">
        <f>Data_inputs!G910-Data_inputs!H910</f>
        <v>365.53247350415018</v>
      </c>
      <c r="G910">
        <f t="shared" si="29"/>
        <v>778.32702197707079</v>
      </c>
    </row>
    <row r="911" spans="1:7" x14ac:dyDescent="0.3">
      <c r="A911">
        <f>Data_inputs!A911</f>
        <v>908</v>
      </c>
      <c r="B911">
        <f>Data_inputs!B911-Data_inputs!C911</f>
        <v>230.55215702506922</v>
      </c>
      <c r="C911">
        <f>Data_inputs!B911*K_factor</f>
        <v>1354.8340163589669</v>
      </c>
      <c r="D911">
        <f>Data_inputs!C911*K_factor</f>
        <v>863.9201118637626</v>
      </c>
      <c r="E911">
        <f t="shared" si="28"/>
        <v>490.91390449520429</v>
      </c>
      <c r="F911">
        <f>Data_inputs!G911-Data_inputs!H911</f>
        <v>170.48247509184785</v>
      </c>
      <c r="G911">
        <f t="shared" si="29"/>
        <v>363.00774009347089</v>
      </c>
    </row>
    <row r="912" spans="1:7" x14ac:dyDescent="0.3">
      <c r="A912">
        <f>Data_inputs!A912</f>
        <v>909</v>
      </c>
      <c r="B912">
        <f>Data_inputs!B912-Data_inputs!C912</f>
        <v>-1946.1847582764449</v>
      </c>
      <c r="C912">
        <f>Data_inputs!B912*K_factor</f>
        <v>3427.647327440196</v>
      </c>
      <c r="D912">
        <f>Data_inputs!C912*K_factor</f>
        <v>7571.6517509193391</v>
      </c>
      <c r="E912">
        <f t="shared" si="28"/>
        <v>-4144.004423479143</v>
      </c>
      <c r="F912">
        <f>Data_inputs!G912-Data_inputs!H912</f>
        <v>-1223.5868417812399</v>
      </c>
      <c r="G912">
        <f t="shared" si="29"/>
        <v>-2605.3791980895207</v>
      </c>
    </row>
    <row r="913" spans="1:7" x14ac:dyDescent="0.3">
      <c r="A913">
        <f>Data_inputs!A913</f>
        <v>910</v>
      </c>
      <c r="B913">
        <f>Data_inputs!B913-Data_inputs!C913</f>
        <v>410.72603105598523</v>
      </c>
      <c r="C913">
        <f>Data_inputs!B913*K_factor</f>
        <v>2014.151429007341</v>
      </c>
      <c r="D913">
        <f>Data_inputs!C913*K_factor</f>
        <v>1139.5939224315612</v>
      </c>
      <c r="E913">
        <f t="shared" si="28"/>
        <v>874.55750657577983</v>
      </c>
      <c r="F913">
        <f>Data_inputs!G913-Data_inputs!H913</f>
        <v>185.76747917933221</v>
      </c>
      <c r="G913">
        <f t="shared" si="29"/>
        <v>395.55404602977234</v>
      </c>
    </row>
    <row r="914" spans="1:7" x14ac:dyDescent="0.3">
      <c r="A914">
        <f>Data_inputs!A914</f>
        <v>911</v>
      </c>
      <c r="B914">
        <f>Data_inputs!B914-Data_inputs!C914</f>
        <v>739.14231047756084</v>
      </c>
      <c r="C914">
        <f>Data_inputs!B914*K_factor</f>
        <v>3156.3164809471396</v>
      </c>
      <c r="D914">
        <f>Data_inputs!C914*K_factor</f>
        <v>1582.4633351069529</v>
      </c>
      <c r="E914">
        <f t="shared" si="28"/>
        <v>1573.8531458401867</v>
      </c>
      <c r="F914">
        <f>Data_inputs!G914-Data_inputs!H914</f>
        <v>582.30484001503919</v>
      </c>
      <c r="G914">
        <f t="shared" si="29"/>
        <v>1239.8996665520453</v>
      </c>
    </row>
    <row r="915" spans="1:7" x14ac:dyDescent="0.3">
      <c r="A915">
        <f>Data_inputs!A915</f>
        <v>912</v>
      </c>
      <c r="B915">
        <f>Data_inputs!B915-Data_inputs!C915</f>
        <v>509.5621633727643</v>
      </c>
      <c r="C915">
        <f>Data_inputs!B915*K_factor</f>
        <v>2454.3788605536365</v>
      </c>
      <c r="D915">
        <f>Data_inputs!C915*K_factor</f>
        <v>1369.3699218728045</v>
      </c>
      <c r="E915">
        <f t="shared" si="28"/>
        <v>1085.008938680832</v>
      </c>
      <c r="F915">
        <f>Data_inputs!G915-Data_inputs!H915</f>
        <v>467.88817821227508</v>
      </c>
      <c r="G915">
        <f t="shared" si="29"/>
        <v>996.27266730954989</v>
      </c>
    </row>
    <row r="916" spans="1:7" x14ac:dyDescent="0.3">
      <c r="A916">
        <f>Data_inputs!A916</f>
        <v>913</v>
      </c>
      <c r="B916">
        <f>Data_inputs!B916-Data_inputs!C916</f>
        <v>435.33090163973293</v>
      </c>
      <c r="C916">
        <f>Data_inputs!B916*K_factor</f>
        <v>3122.7183553165964</v>
      </c>
      <c r="D916">
        <f>Data_inputs!C916*K_factor</f>
        <v>2195.7697835531103</v>
      </c>
      <c r="E916">
        <f t="shared" si="28"/>
        <v>926.94857176348614</v>
      </c>
      <c r="F916">
        <f>Data_inputs!G916-Data_inputs!H916</f>
        <v>410.67179394493405</v>
      </c>
      <c r="G916">
        <f t="shared" si="29"/>
        <v>874.44201968423113</v>
      </c>
    </row>
    <row r="917" spans="1:7" x14ac:dyDescent="0.3">
      <c r="A917">
        <f>Data_inputs!A917</f>
        <v>914</v>
      </c>
      <c r="B917">
        <f>Data_inputs!B917-Data_inputs!C917</f>
        <v>401.64919919062788</v>
      </c>
      <c r="C917">
        <f>Data_inputs!B917*K_factor</f>
        <v>3025.2756598305577</v>
      </c>
      <c r="D917">
        <f>Data_inputs!C917*K_factor</f>
        <v>2170.0454197135541</v>
      </c>
      <c r="E917">
        <f t="shared" si="28"/>
        <v>855.23024011700363</v>
      </c>
      <c r="F917">
        <f>Data_inputs!G917-Data_inputs!H917</f>
        <v>446.81074018291883</v>
      </c>
      <c r="G917">
        <f t="shared" si="29"/>
        <v>951.39255196705119</v>
      </c>
    </row>
    <row r="918" spans="1:7" x14ac:dyDescent="0.3">
      <c r="A918">
        <f>Data_inputs!A918</f>
        <v>915</v>
      </c>
      <c r="B918">
        <f>Data_inputs!B918-Data_inputs!C918</f>
        <v>1100.8947925567127</v>
      </c>
      <c r="C918">
        <f>Data_inputs!B918*K_factor</f>
        <v>4738.3808403197327</v>
      </c>
      <c r="D918">
        <f>Data_inputs!C918*K_factor</f>
        <v>2394.2493950707162</v>
      </c>
      <c r="E918">
        <f t="shared" si="28"/>
        <v>2344.1314452490165</v>
      </c>
      <c r="F918">
        <f>Data_inputs!G918-Data_inputs!H918</f>
        <v>104.23083937372985</v>
      </c>
      <c r="G918">
        <f t="shared" si="29"/>
        <v>221.93836304123741</v>
      </c>
    </row>
    <row r="919" spans="1:7" x14ac:dyDescent="0.3">
      <c r="A919">
        <f>Data_inputs!A919</f>
        <v>916</v>
      </c>
      <c r="B919">
        <f>Data_inputs!B919-Data_inputs!C919</f>
        <v>315.82281621774337</v>
      </c>
      <c r="C919">
        <f>Data_inputs!B919*K_factor</f>
        <v>1803.5300111664312</v>
      </c>
      <c r="D919">
        <f>Data_inputs!C919*K_factor</f>
        <v>1131.0495892145989</v>
      </c>
      <c r="E919">
        <f t="shared" si="28"/>
        <v>672.48042195183234</v>
      </c>
      <c r="F919">
        <f>Data_inputs!G919-Data_inputs!H919</f>
        <v>246.27558874347801</v>
      </c>
      <c r="G919">
        <f t="shared" si="29"/>
        <v>524.3937528581431</v>
      </c>
    </row>
    <row r="920" spans="1:7" x14ac:dyDescent="0.3">
      <c r="A920">
        <f>Data_inputs!A920</f>
        <v>917</v>
      </c>
      <c r="B920">
        <f>Data_inputs!B920-Data_inputs!C920</f>
        <v>905.10322710457399</v>
      </c>
      <c r="C920">
        <f>Data_inputs!B920*K_factor</f>
        <v>3105.7327392556062</v>
      </c>
      <c r="D920">
        <f>Data_inputs!C920*K_factor</f>
        <v>1178.4995920038036</v>
      </c>
      <c r="E920">
        <f t="shared" si="28"/>
        <v>1927.2331472518026</v>
      </c>
      <c r="F920">
        <f>Data_inputs!G920-Data_inputs!H920</f>
        <v>651.10202885470017</v>
      </c>
      <c r="G920">
        <f t="shared" si="29"/>
        <v>1386.3892809949041</v>
      </c>
    </row>
    <row r="921" spans="1:7" x14ac:dyDescent="0.3">
      <c r="A921">
        <f>Data_inputs!A921</f>
        <v>918</v>
      </c>
      <c r="B921">
        <f>Data_inputs!B921-Data_inputs!C921</f>
        <v>355.31276835746826</v>
      </c>
      <c r="C921">
        <f>Data_inputs!B921*K_factor</f>
        <v>1801.6575373299477</v>
      </c>
      <c r="D921">
        <f>Data_inputs!C921*K_factor</f>
        <v>1045.091297906743</v>
      </c>
      <c r="E921">
        <f t="shared" si="28"/>
        <v>756.56623942320471</v>
      </c>
      <c r="F921">
        <f>Data_inputs!G921-Data_inputs!H921</f>
        <v>255.74696117342</v>
      </c>
      <c r="G921">
        <f t="shared" si="29"/>
        <v>544.5611131661426</v>
      </c>
    </row>
    <row r="922" spans="1:7" x14ac:dyDescent="0.3">
      <c r="A922">
        <f>Data_inputs!A922</f>
        <v>919</v>
      </c>
      <c r="B922">
        <f>Data_inputs!B922-Data_inputs!C922</f>
        <v>1015.727058950325</v>
      </c>
      <c r="C922">
        <f>Data_inputs!B922*K_factor</f>
        <v>4198.3728421313899</v>
      </c>
      <c r="D922">
        <f>Data_inputs!C922*K_factor</f>
        <v>2035.58875524681</v>
      </c>
      <c r="E922">
        <f t="shared" si="28"/>
        <v>2162.7840868845797</v>
      </c>
      <c r="F922">
        <f>Data_inputs!G922-Data_inputs!H922</f>
        <v>156.51890380974896</v>
      </c>
      <c r="G922">
        <f t="shared" si="29"/>
        <v>333.27515642457513</v>
      </c>
    </row>
    <row r="923" spans="1:7" x14ac:dyDescent="0.3">
      <c r="A923">
        <f>Data_inputs!A923</f>
        <v>920</v>
      </c>
      <c r="B923">
        <f>Data_inputs!B923-Data_inputs!C923</f>
        <v>720.78879029392806</v>
      </c>
      <c r="C923">
        <f>Data_inputs!B923*K_factor</f>
        <v>4170.2862848812929</v>
      </c>
      <c r="D923">
        <f>Data_inputs!C923*K_factor</f>
        <v>2635.5132256073707</v>
      </c>
      <c r="E923">
        <f t="shared" si="28"/>
        <v>1534.7730592739222</v>
      </c>
      <c r="F923">
        <f>Data_inputs!G923-Data_inputs!H923</f>
        <v>-24.67990094218294</v>
      </c>
      <c r="G923">
        <f t="shared" si="29"/>
        <v>-52.550827068447198</v>
      </c>
    </row>
    <row r="924" spans="1:7" x14ac:dyDescent="0.3">
      <c r="A924">
        <f>Data_inputs!A924</f>
        <v>921</v>
      </c>
      <c r="B924">
        <f>Data_inputs!B924-Data_inputs!C924</f>
        <v>-49.36804114009135</v>
      </c>
      <c r="C924">
        <f>Data_inputs!B924*K_factor</f>
        <v>2029.1501279607489</v>
      </c>
      <c r="D924">
        <f>Data_inputs!C924*K_factor</f>
        <v>2134.2693259161465</v>
      </c>
      <c r="E924">
        <f t="shared" si="28"/>
        <v>-105.11919795539757</v>
      </c>
      <c r="F924">
        <f>Data_inputs!G924-Data_inputs!H924</f>
        <v>273.22535141019375</v>
      </c>
      <c r="G924">
        <f t="shared" si="29"/>
        <v>581.77778858632735</v>
      </c>
    </row>
    <row r="925" spans="1:7" x14ac:dyDescent="0.3">
      <c r="A925">
        <f>Data_inputs!A925</f>
        <v>922</v>
      </c>
      <c r="B925">
        <f>Data_inputs!B925-Data_inputs!C925</f>
        <v>332.88793924604784</v>
      </c>
      <c r="C925">
        <f>Data_inputs!B925*K_factor</f>
        <v>2225.607388726015</v>
      </c>
      <c r="D925">
        <f>Data_inputs!C925*K_factor</f>
        <v>1516.7902597807836</v>
      </c>
      <c r="E925">
        <f t="shared" si="28"/>
        <v>708.81712894523139</v>
      </c>
      <c r="F925">
        <f>Data_inputs!G925-Data_inputs!H925</f>
        <v>263.58650671596592</v>
      </c>
      <c r="G925">
        <f t="shared" si="29"/>
        <v>561.25383016961325</v>
      </c>
    </row>
    <row r="926" spans="1:7" x14ac:dyDescent="0.3">
      <c r="A926">
        <f>Data_inputs!A926</f>
        <v>923</v>
      </c>
      <c r="B926">
        <f>Data_inputs!B926-Data_inputs!C926</f>
        <v>79.863474249655269</v>
      </c>
      <c r="C926">
        <f>Data_inputs!B926*K_factor</f>
        <v>1356.9637451347919</v>
      </c>
      <c r="D926">
        <f>Data_inputs!C926*K_factor</f>
        <v>1186.9107277336693</v>
      </c>
      <c r="E926">
        <f t="shared" si="28"/>
        <v>170.05301740112259</v>
      </c>
      <c r="F926">
        <f>Data_inputs!G926-Data_inputs!H926</f>
        <v>189.86476619593714</v>
      </c>
      <c r="G926">
        <f t="shared" si="29"/>
        <v>404.27838499546812</v>
      </c>
    </row>
    <row r="927" spans="1:7" x14ac:dyDescent="0.3">
      <c r="A927">
        <f>Data_inputs!A927</f>
        <v>924</v>
      </c>
      <c r="B927">
        <f>Data_inputs!B927-Data_inputs!C927</f>
        <v>370.86681186590249</v>
      </c>
      <c r="C927">
        <f>Data_inputs!B927*K_factor</f>
        <v>1608.8806959635226</v>
      </c>
      <c r="D927">
        <f>Data_inputs!C927*K_factor</f>
        <v>819.19528590257164</v>
      </c>
      <c r="E927">
        <f t="shared" si="28"/>
        <v>789.68541006095097</v>
      </c>
      <c r="F927">
        <f>Data_inputs!G927-Data_inputs!H927</f>
        <v>211.86200810853506</v>
      </c>
      <c r="G927">
        <f t="shared" si="29"/>
        <v>451.11703554110062</v>
      </c>
    </row>
    <row r="928" spans="1:7" x14ac:dyDescent="0.3">
      <c r="A928">
        <f>Data_inputs!A928</f>
        <v>925</v>
      </c>
      <c r="B928">
        <f>Data_inputs!B928-Data_inputs!C928</f>
        <v>212.82699473447565</v>
      </c>
      <c r="C928">
        <f>Data_inputs!B928*K_factor</f>
        <v>2390.2742136377842</v>
      </c>
      <c r="D928">
        <f>Data_inputs!C928*K_factor</f>
        <v>1937.1024354369799</v>
      </c>
      <c r="E928">
        <f t="shared" si="28"/>
        <v>453.17177820080428</v>
      </c>
      <c r="F928">
        <f>Data_inputs!G928-Data_inputs!H928</f>
        <v>264.59807674857893</v>
      </c>
      <c r="G928">
        <f t="shared" si="29"/>
        <v>563.40776271480468</v>
      </c>
    </row>
    <row r="929" spans="1:7" x14ac:dyDescent="0.3">
      <c r="A929">
        <f>Data_inputs!A929</f>
        <v>926</v>
      </c>
      <c r="B929">
        <f>Data_inputs!B929-Data_inputs!C929</f>
        <v>750.1480554018907</v>
      </c>
      <c r="C929">
        <f>Data_inputs!B929*K_factor</f>
        <v>3138.1720602246692</v>
      </c>
      <c r="D929">
        <f>Data_inputs!C929*K_factor</f>
        <v>1540.8844200713645</v>
      </c>
      <c r="E929">
        <f t="shared" si="28"/>
        <v>1597.2876401533047</v>
      </c>
      <c r="F929">
        <f>Data_inputs!G929-Data_inputs!H929</f>
        <v>491.01418156063119</v>
      </c>
      <c r="G929">
        <f t="shared" si="29"/>
        <v>1045.514785646687</v>
      </c>
    </row>
    <row r="930" spans="1:7" x14ac:dyDescent="0.3">
      <c r="A930">
        <f>Data_inputs!A930</f>
        <v>927</v>
      </c>
      <c r="B930">
        <f>Data_inputs!B930-Data_inputs!C930</f>
        <v>813.06144276468945</v>
      </c>
      <c r="C930">
        <f>Data_inputs!B930*K_factor</f>
        <v>2970.8033009750579</v>
      </c>
      <c r="D930">
        <f>Data_inputs!C930*K_factor</f>
        <v>1239.5544043589373</v>
      </c>
      <c r="E930">
        <f t="shared" si="28"/>
        <v>1731.2488966161206</v>
      </c>
      <c r="F930">
        <f>Data_inputs!G930-Data_inputs!H930</f>
        <v>457.71003836658701</v>
      </c>
      <c r="G930">
        <f t="shared" si="29"/>
        <v>974.60038960623763</v>
      </c>
    </row>
    <row r="931" spans="1:7" x14ac:dyDescent="0.3">
      <c r="A931">
        <f>Data_inputs!A931</f>
        <v>928</v>
      </c>
      <c r="B931">
        <f>Data_inputs!B931-Data_inputs!C931</f>
        <v>652.54512947906494</v>
      </c>
      <c r="C931">
        <f>Data_inputs!B931*K_factor</f>
        <v>3223.3673218504923</v>
      </c>
      <c r="D931">
        <f>Data_inputs!C931*K_factor</f>
        <v>1833.9052517252339</v>
      </c>
      <c r="E931">
        <f t="shared" si="28"/>
        <v>1389.4620701252584</v>
      </c>
      <c r="F931">
        <f>Data_inputs!G931-Data_inputs!H931</f>
        <v>471.67836399820089</v>
      </c>
      <c r="G931">
        <f t="shared" si="29"/>
        <v>1004.3430966949871</v>
      </c>
    </row>
    <row r="932" spans="1:7" x14ac:dyDescent="0.3">
      <c r="A932">
        <f>Data_inputs!A932</f>
        <v>929</v>
      </c>
      <c r="B932">
        <f>Data_inputs!B932-Data_inputs!C932</f>
        <v>272.68754649939217</v>
      </c>
      <c r="C932">
        <f>Data_inputs!B932*K_factor</f>
        <v>1865.6359532298518</v>
      </c>
      <c r="D932">
        <f>Data_inputs!C932*K_factor</f>
        <v>1285.0033107658815</v>
      </c>
      <c r="E932">
        <f t="shared" si="28"/>
        <v>580.63264246397034</v>
      </c>
      <c r="F932">
        <f>Data_inputs!G932-Data_inputs!H932</f>
        <v>198.91948657748594</v>
      </c>
      <c r="G932">
        <f t="shared" si="29"/>
        <v>423.55856954882751</v>
      </c>
    </row>
    <row r="933" spans="1:7" x14ac:dyDescent="0.3">
      <c r="A933">
        <f>Data_inputs!A933</f>
        <v>930</v>
      </c>
      <c r="B933">
        <f>Data_inputs!B933-Data_inputs!C933</f>
        <v>241.73441094241446</v>
      </c>
      <c r="C933">
        <f>Data_inputs!B933*K_factor</f>
        <v>2118.7813585273261</v>
      </c>
      <c r="D933">
        <f>Data_inputs!C933*K_factor</f>
        <v>1604.0571197352979</v>
      </c>
      <c r="E933">
        <f t="shared" si="28"/>
        <v>514.72423879202825</v>
      </c>
      <c r="F933">
        <f>Data_inputs!G933-Data_inputs!H933</f>
        <v>225.13203957076485</v>
      </c>
      <c r="G933">
        <f t="shared" si="29"/>
        <v>479.37286728848727</v>
      </c>
    </row>
    <row r="934" spans="1:7" x14ac:dyDescent="0.3">
      <c r="A934">
        <f>Data_inputs!A934</f>
        <v>931</v>
      </c>
      <c r="B934">
        <f>Data_inputs!B934-Data_inputs!C934</f>
        <v>111.91277341246325</v>
      </c>
      <c r="C934">
        <f>Data_inputs!B934*K_factor</f>
        <v>1524.7685506013868</v>
      </c>
      <c r="D934">
        <f>Data_inputs!C934*K_factor</f>
        <v>1286.4730721824815</v>
      </c>
      <c r="E934">
        <f t="shared" si="28"/>
        <v>238.2954784189053</v>
      </c>
      <c r="F934">
        <f>Data_inputs!G934-Data_inputs!H934</f>
        <v>113.71506615816679</v>
      </c>
      <c r="G934">
        <f t="shared" si="29"/>
        <v>242.13309408146648</v>
      </c>
    </row>
    <row r="935" spans="1:7" x14ac:dyDescent="0.3">
      <c r="A935">
        <f>Data_inputs!A935</f>
        <v>932</v>
      </c>
      <c r="B935">
        <f>Data_inputs!B935-Data_inputs!C935</f>
        <v>569.19456939041049</v>
      </c>
      <c r="C935">
        <f>Data_inputs!B935*K_factor</f>
        <v>3137.0436178161908</v>
      </c>
      <c r="D935">
        <f>Data_inputs!C935*K_factor</f>
        <v>1925.0596048167838</v>
      </c>
      <c r="E935">
        <f t="shared" si="28"/>
        <v>1211.984012999407</v>
      </c>
      <c r="F935">
        <f>Data_inputs!G935-Data_inputs!H935</f>
        <v>120.44183262200022</v>
      </c>
      <c r="G935">
        <f t="shared" si="29"/>
        <v>256.45637447059244</v>
      </c>
    </row>
    <row r="936" spans="1:7" x14ac:dyDescent="0.3">
      <c r="A936">
        <f>Data_inputs!A936</f>
        <v>933</v>
      </c>
      <c r="B936">
        <f>Data_inputs!B936-Data_inputs!C936</f>
        <v>584.68699936253927</v>
      </c>
      <c r="C936">
        <f>Data_inputs!B936*K_factor</f>
        <v>2717.9136862488072</v>
      </c>
      <c r="D936">
        <f>Data_inputs!C936*K_factor</f>
        <v>1472.9416960997901</v>
      </c>
      <c r="E936">
        <f t="shared" si="28"/>
        <v>1244.9719901490171</v>
      </c>
      <c r="F936">
        <f>Data_inputs!G936-Data_inputs!H936</f>
        <v>436.14767225378819</v>
      </c>
      <c r="G936">
        <f t="shared" si="29"/>
        <v>928.68771858560547</v>
      </c>
    </row>
    <row r="937" spans="1:7" x14ac:dyDescent="0.3">
      <c r="A937">
        <f>Data_inputs!A937</f>
        <v>934</v>
      </c>
      <c r="B937">
        <f>Data_inputs!B937-Data_inputs!C937</f>
        <v>620.96517893584178</v>
      </c>
      <c r="C937">
        <f>Data_inputs!B937*K_factor</f>
        <v>2484.2613965472506</v>
      </c>
      <c r="D937">
        <f>Data_inputs!C937*K_factor</f>
        <v>1162.0424050597401</v>
      </c>
      <c r="E937">
        <f t="shared" si="28"/>
        <v>1322.2189914875105</v>
      </c>
      <c r="F937">
        <f>Data_inputs!G937-Data_inputs!H937</f>
        <v>454.12314478775488</v>
      </c>
      <c r="G937">
        <f t="shared" si="29"/>
        <v>966.96282960890574</v>
      </c>
    </row>
    <row r="938" spans="1:7" x14ac:dyDescent="0.3">
      <c r="A938">
        <f>Data_inputs!A938</f>
        <v>935</v>
      </c>
      <c r="B938">
        <f>Data_inputs!B938-Data_inputs!C938</f>
        <v>328.96238119460679</v>
      </c>
      <c r="C938">
        <f>Data_inputs!B938*K_factor</f>
        <v>1965.6584618258132</v>
      </c>
      <c r="D938">
        <f>Data_inputs!C938*K_factor</f>
        <v>1265.2000099592181</v>
      </c>
      <c r="E938">
        <f t="shared" si="28"/>
        <v>700.45845186659517</v>
      </c>
      <c r="F938">
        <f>Data_inputs!G938-Data_inputs!H938</f>
        <v>284.69057091825903</v>
      </c>
      <c r="G938">
        <f t="shared" si="29"/>
        <v>606.19064052935596</v>
      </c>
    </row>
    <row r="939" spans="1:7" x14ac:dyDescent="0.3">
      <c r="A939">
        <f>Data_inputs!A939</f>
        <v>936</v>
      </c>
      <c r="B939">
        <f>Data_inputs!B939-Data_inputs!C939</f>
        <v>460.37830330428415</v>
      </c>
      <c r="C939">
        <f>Data_inputs!B939*K_factor</f>
        <v>2413.8923482596297</v>
      </c>
      <c r="D939">
        <f>Data_inputs!C939*K_factor</f>
        <v>1433.6104314202717</v>
      </c>
      <c r="E939">
        <f t="shared" si="28"/>
        <v>980.28191683935802</v>
      </c>
      <c r="F939">
        <f>Data_inputs!G939-Data_inputs!H939</f>
        <v>386.21865708753899</v>
      </c>
      <c r="G939">
        <f t="shared" si="29"/>
        <v>822.37404059126573</v>
      </c>
    </row>
    <row r="940" spans="1:7" x14ac:dyDescent="0.3">
      <c r="A940">
        <f>Data_inputs!A940</f>
        <v>937</v>
      </c>
      <c r="B940">
        <f>Data_inputs!B940-Data_inputs!C940</f>
        <v>316.06469767705494</v>
      </c>
      <c r="C940">
        <f>Data_inputs!B940*K_factor</f>
        <v>2875.9362633283708</v>
      </c>
      <c r="D940">
        <f>Data_inputs!C940*K_factor</f>
        <v>2202.9408040281664</v>
      </c>
      <c r="E940">
        <f t="shared" si="28"/>
        <v>672.9954593002044</v>
      </c>
      <c r="F940">
        <f>Data_inputs!G940-Data_inputs!H940</f>
        <v>319.43067659875305</v>
      </c>
      <c r="G940">
        <f t="shared" si="29"/>
        <v>680.16262648797328</v>
      </c>
    </row>
    <row r="941" spans="1:7" x14ac:dyDescent="0.3">
      <c r="A941">
        <f>Data_inputs!A941</f>
        <v>938</v>
      </c>
      <c r="B941">
        <f>Data_inputs!B941-Data_inputs!C941</f>
        <v>372.01706855766065</v>
      </c>
      <c r="C941">
        <f>Data_inputs!B941*K_factor</f>
        <v>2019.8657281451947</v>
      </c>
      <c r="D941">
        <f>Data_inputs!C941*K_factor</f>
        <v>1227.731080519048</v>
      </c>
      <c r="E941">
        <f t="shared" si="28"/>
        <v>792.13464762614672</v>
      </c>
      <c r="F941">
        <f>Data_inputs!G941-Data_inputs!H941</f>
        <v>201.56930649754577</v>
      </c>
      <c r="G941">
        <f t="shared" si="29"/>
        <v>429.20082187017226</v>
      </c>
    </row>
    <row r="942" spans="1:7" x14ac:dyDescent="0.3">
      <c r="A942">
        <f>Data_inputs!A942</f>
        <v>939</v>
      </c>
      <c r="B942">
        <f>Data_inputs!B942-Data_inputs!C942</f>
        <v>289.4249913616062</v>
      </c>
      <c r="C942">
        <f>Data_inputs!B942*K_factor</f>
        <v>1816.1725387222307</v>
      </c>
      <c r="D942">
        <f>Data_inputs!C942*K_factor</f>
        <v>1199.9009132419824</v>
      </c>
      <c r="E942">
        <f t="shared" si="28"/>
        <v>616.2716254802483</v>
      </c>
      <c r="F942">
        <f>Data_inputs!G942-Data_inputs!H942</f>
        <v>304.69084345240003</v>
      </c>
      <c r="G942">
        <f t="shared" si="29"/>
        <v>648.77715113673992</v>
      </c>
    </row>
    <row r="943" spans="1:7" x14ac:dyDescent="0.3">
      <c r="A943">
        <f>Data_inputs!A943</f>
        <v>940</v>
      </c>
      <c r="B943">
        <f>Data_inputs!B943-Data_inputs!C943</f>
        <v>465.01002037640842</v>
      </c>
      <c r="C943">
        <f>Data_inputs!B943*K_factor</f>
        <v>2471.9515527729759</v>
      </c>
      <c r="D943">
        <f>Data_inputs!C943*K_factor</f>
        <v>1481.8073369131564</v>
      </c>
      <c r="E943">
        <f t="shared" si="28"/>
        <v>990.1442158598195</v>
      </c>
      <c r="F943">
        <f>Data_inputs!G943-Data_inputs!H943</f>
        <v>366.12341225982323</v>
      </c>
      <c r="G943">
        <f t="shared" si="29"/>
        <v>779.58530581014486</v>
      </c>
    </row>
    <row r="944" spans="1:7" x14ac:dyDescent="0.3">
      <c r="A944">
        <f>Data_inputs!A944</f>
        <v>941</v>
      </c>
      <c r="B944">
        <f>Data_inputs!B944-Data_inputs!C944</f>
        <v>1100.2429354451137</v>
      </c>
      <c r="C944">
        <f>Data_inputs!B944*K_factor</f>
        <v>4249.2701565390244</v>
      </c>
      <c r="D944">
        <f>Data_inputs!C944*K_factor</f>
        <v>1906.526708366059</v>
      </c>
      <c r="E944">
        <f t="shared" si="28"/>
        <v>2342.7434481729651</v>
      </c>
      <c r="F944">
        <f>Data_inputs!G944-Data_inputs!H944</f>
        <v>-27.065315293662934</v>
      </c>
      <c r="G944">
        <f t="shared" si="29"/>
        <v>-57.630081534049985</v>
      </c>
    </row>
    <row r="945" spans="1:7" x14ac:dyDescent="0.3">
      <c r="A945">
        <f>Data_inputs!A945</f>
        <v>942</v>
      </c>
      <c r="B945">
        <f>Data_inputs!B945-Data_inputs!C945</f>
        <v>513.2035728083348</v>
      </c>
      <c r="C945">
        <f>Data_inputs!B945*K_factor</f>
        <v>2352.6478325863554</v>
      </c>
      <c r="D945">
        <f>Data_inputs!C945*K_factor</f>
        <v>1259.8852534844227</v>
      </c>
      <c r="E945">
        <f t="shared" si="28"/>
        <v>1092.7625791019327</v>
      </c>
      <c r="F945">
        <f>Data_inputs!G945-Data_inputs!H945</f>
        <v>399.31604350388989</v>
      </c>
      <c r="G945">
        <f t="shared" si="29"/>
        <v>850.26225984411849</v>
      </c>
    </row>
    <row r="946" spans="1:7" x14ac:dyDescent="0.3">
      <c r="A946">
        <f>Data_inputs!A946</f>
        <v>943</v>
      </c>
      <c r="B946">
        <f>Data_inputs!B946-Data_inputs!C946</f>
        <v>439.04812892856967</v>
      </c>
      <c r="C946">
        <f>Data_inputs!B946*K_factor</f>
        <v>2174.2588767830794</v>
      </c>
      <c r="D946">
        <f>Data_inputs!C946*K_factor</f>
        <v>1239.3952259077521</v>
      </c>
      <c r="E946">
        <f t="shared" si="28"/>
        <v>934.86365087532727</v>
      </c>
      <c r="F946">
        <f>Data_inputs!G946-Data_inputs!H946</f>
        <v>248.96938694290498</v>
      </c>
      <c r="G946">
        <f t="shared" si="29"/>
        <v>530.12964797648306</v>
      </c>
    </row>
    <row r="947" spans="1:7" x14ac:dyDescent="0.3">
      <c r="A947">
        <f>Data_inputs!A947</f>
        <v>944</v>
      </c>
      <c r="B947">
        <f>Data_inputs!B947-Data_inputs!C947</f>
        <v>466.43881013661849</v>
      </c>
      <c r="C947">
        <f>Data_inputs!B947*K_factor</f>
        <v>2967.7622311384448</v>
      </c>
      <c r="D947">
        <f>Data_inputs!C947*K_factor</f>
        <v>1974.5756982214434</v>
      </c>
      <c r="E947">
        <f t="shared" si="28"/>
        <v>993.18653291700139</v>
      </c>
      <c r="F947">
        <f>Data_inputs!G947-Data_inputs!H947</f>
        <v>601.43631284708317</v>
      </c>
      <c r="G947">
        <f t="shared" si="29"/>
        <v>1280.6362449814608</v>
      </c>
    </row>
    <row r="948" spans="1:7" x14ac:dyDescent="0.3">
      <c r="A948">
        <f>Data_inputs!A948</f>
        <v>945</v>
      </c>
      <c r="B948">
        <f>Data_inputs!B948-Data_inputs!C948</f>
        <v>345.8659816491521</v>
      </c>
      <c r="C948">
        <f>Data_inputs!B948*K_factor</f>
        <v>1689.2773942785759</v>
      </c>
      <c r="D948">
        <f>Data_inputs!C948*K_factor</f>
        <v>952.82616487199255</v>
      </c>
      <c r="E948">
        <f t="shared" si="28"/>
        <v>736.45122940658337</v>
      </c>
      <c r="F948">
        <f>Data_inputs!G948-Data_inputs!H948</f>
        <v>283.03779478704689</v>
      </c>
      <c r="G948">
        <f t="shared" si="29"/>
        <v>602.67139007297612</v>
      </c>
    </row>
    <row r="949" spans="1:7" x14ac:dyDescent="0.3">
      <c r="A949">
        <f>Data_inputs!A949</f>
        <v>946</v>
      </c>
      <c r="B949">
        <f>Data_inputs!B949-Data_inputs!C949</f>
        <v>205.79778311376282</v>
      </c>
      <c r="C949">
        <f>Data_inputs!B949*K_factor</f>
        <v>1118.2920964076593</v>
      </c>
      <c r="D949">
        <f>Data_inputs!C949*K_factor</f>
        <v>680.08759401452369</v>
      </c>
      <c r="E949">
        <f t="shared" si="28"/>
        <v>438.20450239313561</v>
      </c>
      <c r="F949">
        <f>Data_inputs!G949-Data_inputs!H949</f>
        <v>190.23519735258219</v>
      </c>
      <c r="G949">
        <f t="shared" si="29"/>
        <v>405.06714276638559</v>
      </c>
    </row>
    <row r="950" spans="1:7" x14ac:dyDescent="0.3">
      <c r="A950">
        <f>Data_inputs!A950</f>
        <v>947</v>
      </c>
      <c r="B950">
        <f>Data_inputs!B950-Data_inputs!C950</f>
        <v>213.88649243315797</v>
      </c>
      <c r="C950">
        <f>Data_inputs!B950*K_factor</f>
        <v>2282.9809403995191</v>
      </c>
      <c r="D950">
        <f>Data_inputs!C950*K_factor</f>
        <v>1827.5531774411866</v>
      </c>
      <c r="E950">
        <f t="shared" si="28"/>
        <v>455.42776295833255</v>
      </c>
      <c r="F950">
        <f>Data_inputs!G950-Data_inputs!H950</f>
        <v>295.55404292009689</v>
      </c>
      <c r="G950">
        <f t="shared" si="29"/>
        <v>629.32219360442298</v>
      </c>
    </row>
    <row r="951" spans="1:7" x14ac:dyDescent="0.3">
      <c r="A951">
        <f>Data_inputs!A951</f>
        <v>948</v>
      </c>
      <c r="B951">
        <f>Data_inputs!B951-Data_inputs!C951</f>
        <v>29.999224492987878</v>
      </c>
      <c r="C951">
        <f>Data_inputs!B951*K_factor</f>
        <v>1780.1273078726717</v>
      </c>
      <c r="D951">
        <f>Data_inputs!C951*K_factor</f>
        <v>1716.2500637049693</v>
      </c>
      <c r="E951">
        <f t="shared" si="28"/>
        <v>63.877244167702429</v>
      </c>
      <c r="F951">
        <f>Data_inputs!G951-Data_inputs!H951</f>
        <v>394.24623234584396</v>
      </c>
      <c r="G951">
        <f t="shared" si="29"/>
        <v>839.46712861323147</v>
      </c>
    </row>
    <row r="952" spans="1:7" x14ac:dyDescent="0.3">
      <c r="A952">
        <f>Data_inputs!A952</f>
        <v>949</v>
      </c>
      <c r="B952">
        <f>Data_inputs!B952-Data_inputs!C952</f>
        <v>397.75602626902656</v>
      </c>
      <c r="C952">
        <f>Data_inputs!B952*K_factor</f>
        <v>1600.5005749279226</v>
      </c>
      <c r="D952">
        <f>Data_inputs!C952*K_factor</f>
        <v>753.56005434544682</v>
      </c>
      <c r="E952">
        <f t="shared" si="28"/>
        <v>846.94052058247576</v>
      </c>
      <c r="F952">
        <f>Data_inputs!G952-Data_inputs!H952</f>
        <v>179.63484415537391</v>
      </c>
      <c r="G952">
        <f t="shared" si="29"/>
        <v>382.49584764506562</v>
      </c>
    </row>
    <row r="953" spans="1:7" x14ac:dyDescent="0.3">
      <c r="A953">
        <f>Data_inputs!A953</f>
        <v>950</v>
      </c>
      <c r="B953">
        <f>Data_inputs!B953-Data_inputs!C953</f>
        <v>308.80241758384108</v>
      </c>
      <c r="C953">
        <f>Data_inputs!B953*K_factor</f>
        <v>1505.6640855777744</v>
      </c>
      <c r="D953">
        <f>Data_inputs!C953*K_factor</f>
        <v>848.13217397150765</v>
      </c>
      <c r="E953">
        <f t="shared" si="28"/>
        <v>657.5319116062667</v>
      </c>
      <c r="F953">
        <f>Data_inputs!G953-Data_inputs!H953</f>
        <v>270.17434912899398</v>
      </c>
      <c r="G953">
        <f t="shared" si="29"/>
        <v>575.28130006150002</v>
      </c>
    </row>
    <row r="954" spans="1:7" x14ac:dyDescent="0.3">
      <c r="A954">
        <f>Data_inputs!A954</f>
        <v>951</v>
      </c>
      <c r="B954">
        <f>Data_inputs!B954-Data_inputs!C954</f>
        <v>411.67075683242342</v>
      </c>
      <c r="C954">
        <f>Data_inputs!B954*K_factor</f>
        <v>2413.762058461582</v>
      </c>
      <c r="D954">
        <f>Data_inputs!C954*K_factor</f>
        <v>1537.1929505823362</v>
      </c>
      <c r="E954">
        <f t="shared" si="28"/>
        <v>876.56910787924585</v>
      </c>
      <c r="F954">
        <f>Data_inputs!G954-Data_inputs!H954</f>
        <v>337.0414639740211</v>
      </c>
      <c r="G954">
        <f t="shared" si="29"/>
        <v>717.66121467375899</v>
      </c>
    </row>
    <row r="955" spans="1:7" x14ac:dyDescent="0.3">
      <c r="A955">
        <f>Data_inputs!A955</f>
        <v>952</v>
      </c>
      <c r="B955">
        <f>Data_inputs!B955-Data_inputs!C955</f>
        <v>994.1485013768563</v>
      </c>
      <c r="C955">
        <f>Data_inputs!B955*K_factor</f>
        <v>4192.3482333295633</v>
      </c>
      <c r="D955">
        <f>Data_inputs!C955*K_factor</f>
        <v>2075.511293886394</v>
      </c>
      <c r="E955">
        <f t="shared" si="28"/>
        <v>2116.8369394431693</v>
      </c>
      <c r="F955">
        <f>Data_inputs!G955-Data_inputs!H955</f>
        <v>19.037546737529965</v>
      </c>
      <c r="G955">
        <f t="shared" si="29"/>
        <v>40.536581923692651</v>
      </c>
    </row>
    <row r="956" spans="1:7" x14ac:dyDescent="0.3">
      <c r="A956">
        <f>Data_inputs!A956</f>
        <v>953</v>
      </c>
      <c r="B956">
        <f>Data_inputs!B956-Data_inputs!C956</f>
        <v>181.7974558019132</v>
      </c>
      <c r="C956">
        <f>Data_inputs!B956*K_factor</f>
        <v>1447.4629132164068</v>
      </c>
      <c r="D956">
        <f>Data_inputs!C956*K_factor</f>
        <v>1060.3622241289165</v>
      </c>
      <c r="E956">
        <f t="shared" si="28"/>
        <v>387.10068908749031</v>
      </c>
      <c r="F956">
        <f>Data_inputs!G956-Data_inputs!H956</f>
        <v>220.70632620323204</v>
      </c>
      <c r="G956">
        <f t="shared" si="29"/>
        <v>469.94921123830375</v>
      </c>
    </row>
    <row r="957" spans="1:7" x14ac:dyDescent="0.3">
      <c r="A957">
        <f>Data_inputs!A957</f>
        <v>954</v>
      </c>
      <c r="B957">
        <f>Data_inputs!B957-Data_inputs!C957</f>
        <v>542.26944837158089</v>
      </c>
      <c r="C957">
        <f>Data_inputs!B957*K_factor</f>
        <v>2617.940983112313</v>
      </c>
      <c r="D957">
        <f>Data_inputs!C957*K_factor</f>
        <v>1463.2885364661206</v>
      </c>
      <c r="E957">
        <f t="shared" si="28"/>
        <v>1154.6524466461924</v>
      </c>
      <c r="F957">
        <f>Data_inputs!G957-Data_inputs!H957</f>
        <v>357.07379813567195</v>
      </c>
      <c r="G957">
        <f t="shared" si="29"/>
        <v>760.31599399286711</v>
      </c>
    </row>
    <row r="958" spans="1:7" x14ac:dyDescent="0.3">
      <c r="A958">
        <f>Data_inputs!A958</f>
        <v>955</v>
      </c>
      <c r="B958">
        <f>Data_inputs!B958-Data_inputs!C958</f>
        <v>459.78986510266441</v>
      </c>
      <c r="C958">
        <f>Data_inputs!B958*K_factor</f>
        <v>2085.4499273405172</v>
      </c>
      <c r="D958">
        <f>Data_inputs!C958*K_factor</f>
        <v>1106.4209699132018</v>
      </c>
      <c r="E958">
        <f t="shared" si="28"/>
        <v>979.02895742731539</v>
      </c>
      <c r="F958">
        <f>Data_inputs!G958-Data_inputs!H958</f>
        <v>340.63895038158898</v>
      </c>
      <c r="G958">
        <f t="shared" si="29"/>
        <v>725.32132994440269</v>
      </c>
    </row>
    <row r="959" spans="1:7" x14ac:dyDescent="0.3">
      <c r="A959">
        <f>Data_inputs!A959</f>
        <v>956</v>
      </c>
      <c r="B959">
        <f>Data_inputs!B959-Data_inputs!C959</f>
        <v>238.99029733198279</v>
      </c>
      <c r="C959">
        <f>Data_inputs!B959*K_factor</f>
        <v>1306.3137043454578</v>
      </c>
      <c r="D959">
        <f>Data_inputs!C959*K_factor</f>
        <v>797.43249710107625</v>
      </c>
      <c r="E959">
        <f t="shared" si="28"/>
        <v>508.88120724438159</v>
      </c>
      <c r="F959">
        <f>Data_inputs!G959-Data_inputs!H959</f>
        <v>248.09338841785052</v>
      </c>
      <c r="G959">
        <f t="shared" si="29"/>
        <v>528.2643873698787</v>
      </c>
    </row>
    <row r="960" spans="1:7" x14ac:dyDescent="0.3">
      <c r="A960">
        <f>Data_inputs!A960</f>
        <v>957</v>
      </c>
      <c r="B960">
        <f>Data_inputs!B960-Data_inputs!C960</f>
        <v>249.46977486219612</v>
      </c>
      <c r="C960">
        <f>Data_inputs!B960*K_factor</f>
        <v>2144.0234928518821</v>
      </c>
      <c r="D960">
        <f>Data_inputs!C960*K_factor</f>
        <v>1612.8283706226696</v>
      </c>
      <c r="E960">
        <f t="shared" si="28"/>
        <v>531.19512222921253</v>
      </c>
      <c r="F960">
        <f>Data_inputs!G960-Data_inputs!H960</f>
        <v>264.1841868605261</v>
      </c>
      <c r="G960">
        <f t="shared" si="29"/>
        <v>562.5264684185513</v>
      </c>
    </row>
    <row r="961" spans="1:7" x14ac:dyDescent="0.3">
      <c r="A961">
        <f>Data_inputs!A961</f>
        <v>958</v>
      </c>
      <c r="B961">
        <f>Data_inputs!B961-Data_inputs!C961</f>
        <v>120.04824158080385</v>
      </c>
      <c r="C961">
        <f>Data_inputs!B961*K_factor</f>
        <v>931.89434852371778</v>
      </c>
      <c r="D961">
        <f>Data_inputs!C961*K_factor</f>
        <v>676.27604608550735</v>
      </c>
      <c r="E961">
        <f t="shared" si="28"/>
        <v>255.61830243821043</v>
      </c>
      <c r="F961">
        <f>Data_inputs!G961-Data_inputs!H961</f>
        <v>139.64785799706772</v>
      </c>
      <c r="G961">
        <f t="shared" si="29"/>
        <v>297.35169737005742</v>
      </c>
    </row>
    <row r="962" spans="1:7" x14ac:dyDescent="0.3">
      <c r="A962">
        <f>Data_inputs!A962</f>
        <v>959</v>
      </c>
      <c r="B962">
        <f>Data_inputs!B962-Data_inputs!C962</f>
        <v>197.97571131379982</v>
      </c>
      <c r="C962">
        <f>Data_inputs!B962*K_factor</f>
        <v>1879.1956364161556</v>
      </c>
      <c r="D962">
        <f>Data_inputs!C962*K_factor</f>
        <v>1457.6466442473036</v>
      </c>
      <c r="E962">
        <f t="shared" si="28"/>
        <v>421.54899216885201</v>
      </c>
      <c r="F962">
        <f>Data_inputs!G962-Data_inputs!H962</f>
        <v>263.63643080716815</v>
      </c>
      <c r="G962">
        <f t="shared" si="29"/>
        <v>561.36013336302813</v>
      </c>
    </row>
    <row r="963" spans="1:7" x14ac:dyDescent="0.3">
      <c r="A963">
        <f>Data_inputs!A963</f>
        <v>960</v>
      </c>
      <c r="B963">
        <f>Data_inputs!B963-Data_inputs!C963</f>
        <v>352.08879597280759</v>
      </c>
      <c r="C963">
        <f>Data_inputs!B963*K_factor</f>
        <v>1979.9690468548349</v>
      </c>
      <c r="D963">
        <f>Data_inputs!C963*K_factor</f>
        <v>1230.2676005949681</v>
      </c>
      <c r="E963">
        <f t="shared" si="28"/>
        <v>749.70144625986677</v>
      </c>
      <c r="F963">
        <f>Data_inputs!G963-Data_inputs!H963</f>
        <v>324.12994715341711</v>
      </c>
      <c r="G963">
        <f t="shared" si="29"/>
        <v>690.16876690338745</v>
      </c>
    </row>
    <row r="964" spans="1:7" x14ac:dyDescent="0.3">
      <c r="A964">
        <f>Data_inputs!A964</f>
        <v>961</v>
      </c>
      <c r="B964">
        <f>Data_inputs!B964-Data_inputs!C964</f>
        <v>309.714068353431</v>
      </c>
      <c r="C964">
        <f>Data_inputs!B964*K_factor</f>
        <v>2108.1984536815712</v>
      </c>
      <c r="D964">
        <f>Data_inputs!C964*K_factor</f>
        <v>1448.7253672686563</v>
      </c>
      <c r="E964">
        <f t="shared" ref="E964:E1027" si="30">C964-D964</f>
        <v>659.47308641291488</v>
      </c>
      <c r="F964">
        <f>Data_inputs!G964-Data_inputs!H964</f>
        <v>327.5533086871219</v>
      </c>
      <c r="G964">
        <f t="shared" ref="G964:G1027" si="31">F964*K_factor</f>
        <v>697.45811868692761</v>
      </c>
    </row>
    <row r="965" spans="1:7" x14ac:dyDescent="0.3">
      <c r="A965">
        <f>Data_inputs!A965</f>
        <v>962</v>
      </c>
      <c r="B965">
        <f>Data_inputs!B965-Data_inputs!C965</f>
        <v>437.64769454166424</v>
      </c>
      <c r="C965">
        <f>Data_inputs!B965*K_factor</f>
        <v>2232.539657282472</v>
      </c>
      <c r="D965">
        <f>Data_inputs!C965*K_factor</f>
        <v>1300.6579464667657</v>
      </c>
      <c r="E965">
        <f t="shared" si="30"/>
        <v>931.88171081570636</v>
      </c>
      <c r="F965">
        <f>Data_inputs!G965-Data_inputs!H965</f>
        <v>401.80331431893092</v>
      </c>
      <c r="G965">
        <f t="shared" si="31"/>
        <v>855.55839692261907</v>
      </c>
    </row>
    <row r="966" spans="1:7" x14ac:dyDescent="0.3">
      <c r="A966">
        <f>Data_inputs!A966</f>
        <v>963</v>
      </c>
      <c r="B966">
        <f>Data_inputs!B966-Data_inputs!C966</f>
        <v>695.44157148611134</v>
      </c>
      <c r="C966">
        <f>Data_inputs!B966*K_factor</f>
        <v>3524.8205914723662</v>
      </c>
      <c r="D966">
        <f>Data_inputs!C966*K_factor</f>
        <v>2044.0192768726288</v>
      </c>
      <c r="E966">
        <f t="shared" si="30"/>
        <v>1480.8013145997375</v>
      </c>
      <c r="F966">
        <f>Data_inputs!G966-Data_inputs!H966</f>
        <v>535.36850815103526</v>
      </c>
      <c r="G966">
        <f t="shared" si="31"/>
        <v>1139.9582986838827</v>
      </c>
    </row>
    <row r="967" spans="1:7" x14ac:dyDescent="0.3">
      <c r="A967">
        <f>Data_inputs!A967</f>
        <v>964</v>
      </c>
      <c r="B967">
        <f>Data_inputs!B967-Data_inputs!C967</f>
        <v>696.81596783463146</v>
      </c>
      <c r="C967">
        <f>Data_inputs!B967*K_factor</f>
        <v>3411.0301768781706</v>
      </c>
      <c r="D967">
        <f>Data_inputs!C967*K_factor</f>
        <v>1927.302364923205</v>
      </c>
      <c r="E967">
        <f t="shared" si="30"/>
        <v>1483.7278119549655</v>
      </c>
      <c r="F967">
        <f>Data_inputs!G967-Data_inputs!H967</f>
        <v>572.24348491400497</v>
      </c>
      <c r="G967">
        <f t="shared" si="31"/>
        <v>1218.4760581985377</v>
      </c>
    </row>
    <row r="968" spans="1:7" x14ac:dyDescent="0.3">
      <c r="A968">
        <f>Data_inputs!A968</f>
        <v>965</v>
      </c>
      <c r="B968">
        <f>Data_inputs!B968-Data_inputs!C968</f>
        <v>334.60566591004522</v>
      </c>
      <c r="C968">
        <f>Data_inputs!B968*K_factor</f>
        <v>2449.2952405703882</v>
      </c>
      <c r="D968">
        <f>Data_inputs!C968*K_factor</f>
        <v>1736.8205622256658</v>
      </c>
      <c r="E968">
        <f t="shared" si="30"/>
        <v>712.47467834472241</v>
      </c>
      <c r="F968">
        <f>Data_inputs!G968-Data_inputs!H968</f>
        <v>393.9340581434808</v>
      </c>
      <c r="G968">
        <f t="shared" si="31"/>
        <v>838.80241717204501</v>
      </c>
    </row>
    <row r="969" spans="1:7" x14ac:dyDescent="0.3">
      <c r="A969">
        <f>Data_inputs!A969</f>
        <v>966</v>
      </c>
      <c r="B969">
        <f>Data_inputs!B969-Data_inputs!C969</f>
        <v>370.85492708271943</v>
      </c>
      <c r="C969">
        <f>Data_inputs!B969*K_factor</f>
        <v>1782.1532522608541</v>
      </c>
      <c r="D969">
        <f>Data_inputs!C969*K_factor</f>
        <v>992.49314842731735</v>
      </c>
      <c r="E969">
        <f t="shared" si="30"/>
        <v>789.66010383353671</v>
      </c>
      <c r="F969">
        <f>Data_inputs!G969-Data_inputs!H969</f>
        <v>322.49891079291911</v>
      </c>
      <c r="G969">
        <f t="shared" si="31"/>
        <v>686.69580686502763</v>
      </c>
    </row>
    <row r="970" spans="1:7" x14ac:dyDescent="0.3">
      <c r="A970">
        <f>Data_inputs!A970</f>
        <v>967</v>
      </c>
      <c r="B970">
        <f>Data_inputs!B970-Data_inputs!C970</f>
        <v>609.99698083023566</v>
      </c>
      <c r="C970">
        <f>Data_inputs!B970*K_factor</f>
        <v>2752.503344895209</v>
      </c>
      <c r="D970">
        <f>Data_inputs!C970*K_factor</f>
        <v>1453.6388994105562</v>
      </c>
      <c r="E970">
        <f t="shared" si="30"/>
        <v>1298.8644454846528</v>
      </c>
      <c r="F970">
        <f>Data_inputs!G970-Data_inputs!H970</f>
        <v>633.8217146722011</v>
      </c>
      <c r="G970">
        <f t="shared" si="31"/>
        <v>1349.5943682268053</v>
      </c>
    </row>
    <row r="971" spans="1:7" x14ac:dyDescent="0.3">
      <c r="A971">
        <f>Data_inputs!A971</f>
        <v>968</v>
      </c>
      <c r="B971">
        <f>Data_inputs!B971-Data_inputs!C971</f>
        <v>133.33608957084823</v>
      </c>
      <c r="C971">
        <f>Data_inputs!B971*K_factor</f>
        <v>2000.0891200734043</v>
      </c>
      <c r="D971">
        <f>Data_inputs!C971*K_factor</f>
        <v>1716.1770492172209</v>
      </c>
      <c r="E971">
        <f t="shared" si="30"/>
        <v>283.91207085618339</v>
      </c>
      <c r="F971">
        <f>Data_inputs!G971-Data_inputs!H971</f>
        <v>330.64146971579612</v>
      </c>
      <c r="G971">
        <f t="shared" si="31"/>
        <v>704.0337292032566</v>
      </c>
    </row>
    <row r="972" spans="1:7" x14ac:dyDescent="0.3">
      <c r="A972">
        <f>Data_inputs!A972</f>
        <v>969</v>
      </c>
      <c r="B972">
        <f>Data_inputs!B972-Data_inputs!C972</f>
        <v>227.99223287113142</v>
      </c>
      <c r="C972">
        <f>Data_inputs!B972*K_factor</f>
        <v>1343.3100059728977</v>
      </c>
      <c r="D972">
        <f>Data_inputs!C972*K_factor</f>
        <v>857.84693905751521</v>
      </c>
      <c r="E972">
        <f t="shared" si="30"/>
        <v>485.46306691538246</v>
      </c>
      <c r="F972">
        <f>Data_inputs!G972-Data_inputs!H972</f>
        <v>253.76919546848251</v>
      </c>
      <c r="G972">
        <f t="shared" si="31"/>
        <v>540.34986354299554</v>
      </c>
    </row>
    <row r="973" spans="1:7" x14ac:dyDescent="0.3">
      <c r="A973">
        <f>Data_inputs!A973</f>
        <v>970</v>
      </c>
      <c r="B973">
        <f>Data_inputs!B973-Data_inputs!C973</f>
        <v>39.082332336378897</v>
      </c>
      <c r="C973">
        <f>Data_inputs!B973*K_factor</f>
        <v>909.20625267942705</v>
      </c>
      <c r="D973">
        <f>Data_inputs!C973*K_factor</f>
        <v>825.98837863479287</v>
      </c>
      <c r="E973">
        <f t="shared" si="30"/>
        <v>83.217874044634186</v>
      </c>
      <c r="F973">
        <f>Data_inputs!G973-Data_inputs!H973</f>
        <v>131.76199147208274</v>
      </c>
      <c r="G973">
        <f t="shared" si="31"/>
        <v>280.56034926010477</v>
      </c>
    </row>
    <row r="974" spans="1:7" x14ac:dyDescent="0.3">
      <c r="A974">
        <f>Data_inputs!A974</f>
        <v>971</v>
      </c>
      <c r="B974">
        <f>Data_inputs!B974-Data_inputs!C974</f>
        <v>-565.93479994436393</v>
      </c>
      <c r="C974">
        <f>Data_inputs!B974*K_factor</f>
        <v>5909.5758469918665</v>
      </c>
      <c r="D974">
        <f>Data_inputs!C974*K_factor</f>
        <v>7114.6188442698767</v>
      </c>
      <c r="E974">
        <f t="shared" si="30"/>
        <v>-1205.0429972780103</v>
      </c>
      <c r="F974">
        <f>Data_inputs!G974-Data_inputs!H974</f>
        <v>605.71771815230659</v>
      </c>
      <c r="G974">
        <f t="shared" si="31"/>
        <v>1289.7526263774723</v>
      </c>
    </row>
    <row r="975" spans="1:7" x14ac:dyDescent="0.3">
      <c r="A975">
        <f>Data_inputs!A975</f>
        <v>972</v>
      </c>
      <c r="B975">
        <f>Data_inputs!B975-Data_inputs!C975</f>
        <v>290.22454555668639</v>
      </c>
      <c r="C975">
        <f>Data_inputs!B975*K_factor</f>
        <v>1391.4249393212217</v>
      </c>
      <c r="D975">
        <f>Data_inputs!C975*K_factor</f>
        <v>773.45082587978015</v>
      </c>
      <c r="E975">
        <f t="shared" si="30"/>
        <v>617.97411344144155</v>
      </c>
      <c r="F975">
        <f>Data_inputs!G975-Data_inputs!H975</f>
        <v>182.39849191177905</v>
      </c>
      <c r="G975">
        <f t="shared" si="31"/>
        <v>388.38047318165832</v>
      </c>
    </row>
    <row r="976" spans="1:7" x14ac:dyDescent="0.3">
      <c r="A976">
        <f>Data_inputs!A976</f>
        <v>973</v>
      </c>
      <c r="B976">
        <f>Data_inputs!B976-Data_inputs!C976</f>
        <v>326.07665790676117</v>
      </c>
      <c r="C976">
        <f>Data_inputs!B976*K_factor</f>
        <v>2098.5448678731682</v>
      </c>
      <c r="D976">
        <f>Data_inputs!C976*K_factor</f>
        <v>1404.2309765468372</v>
      </c>
      <c r="E976">
        <f t="shared" si="30"/>
        <v>694.31389132633103</v>
      </c>
      <c r="F976">
        <f>Data_inputs!G976-Data_inputs!H976</f>
        <v>393.41903424365273</v>
      </c>
      <c r="G976">
        <f t="shared" si="31"/>
        <v>837.70577857696367</v>
      </c>
    </row>
    <row r="977" spans="1:7" x14ac:dyDescent="0.3">
      <c r="A977">
        <f>Data_inputs!A977</f>
        <v>974</v>
      </c>
      <c r="B977">
        <f>Data_inputs!B977-Data_inputs!C977</f>
        <v>76.919179486864095</v>
      </c>
      <c r="C977">
        <f>Data_inputs!B977*K_factor</f>
        <v>2760.9947671268355</v>
      </c>
      <c r="D977">
        <f>Data_inputs!C977*K_factor</f>
        <v>2597.211026303461</v>
      </c>
      <c r="E977">
        <f t="shared" si="30"/>
        <v>163.7837408233745</v>
      </c>
      <c r="F977">
        <f>Data_inputs!G977-Data_inputs!H977</f>
        <v>-7.2150916339069227</v>
      </c>
      <c r="G977">
        <f t="shared" si="31"/>
        <v>-15.363069471984119</v>
      </c>
    </row>
    <row r="978" spans="1:7" x14ac:dyDescent="0.3">
      <c r="A978">
        <f>Data_inputs!A978</f>
        <v>975</v>
      </c>
      <c r="B978">
        <f>Data_inputs!B978-Data_inputs!C978</f>
        <v>497.94230556958883</v>
      </c>
      <c r="C978">
        <f>Data_inputs!B978*K_factor</f>
        <v>2634.9537273125266</v>
      </c>
      <c r="D978">
        <f>Data_inputs!C978*K_factor</f>
        <v>1574.6869113575976</v>
      </c>
      <c r="E978">
        <f t="shared" si="30"/>
        <v>1060.2668159549289</v>
      </c>
      <c r="F978">
        <f>Data_inputs!G978-Data_inputs!H978</f>
        <v>397.22699959787496</v>
      </c>
      <c r="G978">
        <f t="shared" si="31"/>
        <v>845.81406593521399</v>
      </c>
    </row>
    <row r="979" spans="1:7" x14ac:dyDescent="0.3">
      <c r="A979">
        <f>Data_inputs!A979</f>
        <v>976</v>
      </c>
      <c r="B979">
        <f>Data_inputs!B979-Data_inputs!C979</f>
        <v>422.87011867492089</v>
      </c>
      <c r="C979">
        <f>Data_inputs!B979*K_factor</f>
        <v>1983.5575262385069</v>
      </c>
      <c r="D979">
        <f>Data_inputs!C979*K_factor</f>
        <v>1083.1416562170302</v>
      </c>
      <c r="E979">
        <f t="shared" si="30"/>
        <v>900.41587002147662</v>
      </c>
      <c r="F979">
        <f>Data_inputs!G979-Data_inputs!H979</f>
        <v>297.92273065676409</v>
      </c>
      <c r="G979">
        <f t="shared" si="31"/>
        <v>634.36583214739596</v>
      </c>
    </row>
    <row r="980" spans="1:7" x14ac:dyDescent="0.3">
      <c r="A980">
        <f>Data_inputs!A980</f>
        <v>977</v>
      </c>
      <c r="B980">
        <f>Data_inputs!B980-Data_inputs!C980</f>
        <v>1163.2323892374607</v>
      </c>
      <c r="C980">
        <f>Data_inputs!B980*K_factor</f>
        <v>4477.1172522487541</v>
      </c>
      <c r="D980">
        <f>Data_inputs!C980*K_factor</f>
        <v>2000.2505796296214</v>
      </c>
      <c r="E980">
        <f t="shared" si="30"/>
        <v>2476.8666726191327</v>
      </c>
      <c r="F980">
        <f>Data_inputs!G980-Data_inputs!H980</f>
        <v>265.57683053893106</v>
      </c>
      <c r="G980">
        <f t="shared" si="31"/>
        <v>565.49181974971236</v>
      </c>
    </row>
    <row r="981" spans="1:7" x14ac:dyDescent="0.3">
      <c r="A981">
        <f>Data_inputs!A981</f>
        <v>978</v>
      </c>
      <c r="B981">
        <f>Data_inputs!B981-Data_inputs!C981</f>
        <v>402.72450146313656</v>
      </c>
      <c r="C981">
        <f>Data_inputs!B981*K_factor</f>
        <v>2360.5026904149372</v>
      </c>
      <c r="D981">
        <f>Data_inputs!C981*K_factor</f>
        <v>1502.9828129164343</v>
      </c>
      <c r="E981">
        <f t="shared" si="30"/>
        <v>857.51987749850286</v>
      </c>
      <c r="F981">
        <f>Data_inputs!G981-Data_inputs!H981</f>
        <v>377.42221776352289</v>
      </c>
      <c r="G981">
        <f t="shared" si="31"/>
        <v>803.64381299361912</v>
      </c>
    </row>
    <row r="982" spans="1:7" x14ac:dyDescent="0.3">
      <c r="A982">
        <f>Data_inputs!A982</f>
        <v>979</v>
      </c>
      <c r="B982">
        <f>Data_inputs!B982-Data_inputs!C982</f>
        <v>222.84601915248629</v>
      </c>
      <c r="C982">
        <f>Data_inputs!B982*K_factor</f>
        <v>1717.1166473729982</v>
      </c>
      <c r="D982">
        <f>Data_inputs!C982*K_factor</f>
        <v>1242.6113953945289</v>
      </c>
      <c r="E982">
        <f t="shared" si="30"/>
        <v>474.50525197846923</v>
      </c>
      <c r="F982">
        <f>Data_inputs!G982-Data_inputs!H982</f>
        <v>161.23929767150412</v>
      </c>
      <c r="G982">
        <f t="shared" si="31"/>
        <v>343.32627462416519</v>
      </c>
    </row>
    <row r="983" spans="1:7" x14ac:dyDescent="0.3">
      <c r="A983">
        <f>Data_inputs!A983</f>
        <v>980</v>
      </c>
      <c r="B983">
        <f>Data_inputs!B983-Data_inputs!C983</f>
        <v>417.21833018328618</v>
      </c>
      <c r="C983">
        <f>Data_inputs!B983*K_factor</f>
        <v>2496.4299725053684</v>
      </c>
      <c r="D983">
        <f>Data_inputs!C983*K_factor</f>
        <v>1608.0484360230389</v>
      </c>
      <c r="E983">
        <f t="shared" si="30"/>
        <v>888.38153648232947</v>
      </c>
      <c r="F983">
        <f>Data_inputs!G983-Data_inputs!H983</f>
        <v>238.71390053854702</v>
      </c>
      <c r="G983">
        <f t="shared" si="31"/>
        <v>508.29267651534246</v>
      </c>
    </row>
    <row r="984" spans="1:7" x14ac:dyDescent="0.3">
      <c r="A984">
        <f>Data_inputs!A984</f>
        <v>981</v>
      </c>
      <c r="B984">
        <f>Data_inputs!B984-Data_inputs!C984</f>
        <v>399.1258651554208</v>
      </c>
      <c r="C984">
        <f>Data_inputs!B984*K_factor</f>
        <v>2501.7086444652714</v>
      </c>
      <c r="D984">
        <f>Data_inputs!C984*K_factor</f>
        <v>1651.8513307157896</v>
      </c>
      <c r="E984">
        <f t="shared" si="30"/>
        <v>849.85731374948182</v>
      </c>
      <c r="F984">
        <f>Data_inputs!G984-Data_inputs!H984</f>
        <v>202.69165748827527</v>
      </c>
      <c r="G984">
        <f t="shared" si="31"/>
        <v>431.59063992341726</v>
      </c>
    </row>
    <row r="985" spans="1:7" x14ac:dyDescent="0.3">
      <c r="A985">
        <f>Data_inputs!A985</f>
        <v>982</v>
      </c>
      <c r="B985">
        <f>Data_inputs!B985-Data_inputs!C985</f>
        <v>650.21625912303114</v>
      </c>
      <c r="C985">
        <f>Data_inputs!B985*K_factor</f>
        <v>2909.9289386981782</v>
      </c>
      <c r="D985">
        <f>Data_inputs!C985*K_factor</f>
        <v>1525.4257241060707</v>
      </c>
      <c r="E985">
        <f t="shared" si="30"/>
        <v>1384.5032145921075</v>
      </c>
      <c r="F985">
        <f>Data_inputs!G985-Data_inputs!H985</f>
        <v>289.87889102154486</v>
      </c>
      <c r="G985">
        <f t="shared" si="31"/>
        <v>617.23811244434683</v>
      </c>
    </row>
    <row r="986" spans="1:7" x14ac:dyDescent="0.3">
      <c r="A986">
        <f>Data_inputs!A986</f>
        <v>983</v>
      </c>
      <c r="B986">
        <f>Data_inputs!B986-Data_inputs!C986</f>
        <v>183.79451988688675</v>
      </c>
      <c r="C986">
        <f>Data_inputs!B986*K_factor</f>
        <v>2123.205967335959</v>
      </c>
      <c r="D986">
        <f>Data_inputs!C986*K_factor</f>
        <v>1731.8529366519645</v>
      </c>
      <c r="E986">
        <f t="shared" si="30"/>
        <v>391.35303068399458</v>
      </c>
      <c r="F986">
        <f>Data_inputs!G986-Data_inputs!H986</f>
        <v>228.67471743295391</v>
      </c>
      <c r="G986">
        <f t="shared" si="31"/>
        <v>486.91627891445984</v>
      </c>
    </row>
    <row r="987" spans="1:7" x14ac:dyDescent="0.3">
      <c r="A987">
        <f>Data_inputs!A987</f>
        <v>984</v>
      </c>
      <c r="B987">
        <f>Data_inputs!B987-Data_inputs!C987</f>
        <v>233.46240819915829</v>
      </c>
      <c r="C987">
        <f>Data_inputs!B987*K_factor</f>
        <v>2109.1985491886358</v>
      </c>
      <c r="D987">
        <f>Data_inputs!C987*K_factor</f>
        <v>1612.0878570104674</v>
      </c>
      <c r="E987">
        <f t="shared" si="30"/>
        <v>497.11069217816839</v>
      </c>
      <c r="F987">
        <f>Data_inputs!G987-Data_inputs!H987</f>
        <v>236.08762608546613</v>
      </c>
      <c r="G987">
        <f t="shared" si="31"/>
        <v>502.70055947478158</v>
      </c>
    </row>
    <row r="988" spans="1:7" x14ac:dyDescent="0.3">
      <c r="A988">
        <f>Data_inputs!A988</f>
        <v>985</v>
      </c>
      <c r="B988">
        <f>Data_inputs!B988-Data_inputs!C988</f>
        <v>312.76231399310905</v>
      </c>
      <c r="C988">
        <f>Data_inputs!B988*K_factor</f>
        <v>2959.3744457449643</v>
      </c>
      <c r="D988">
        <f>Data_inputs!C988*K_factor</f>
        <v>2293.4107405144077</v>
      </c>
      <c r="E988">
        <f t="shared" si="30"/>
        <v>665.96370523055657</v>
      </c>
      <c r="F988">
        <f>Data_inputs!G988-Data_inputs!H988</f>
        <v>75.076205303591905</v>
      </c>
      <c r="G988">
        <f t="shared" si="31"/>
        <v>159.85950231757019</v>
      </c>
    </row>
    <row r="989" spans="1:7" x14ac:dyDescent="0.3">
      <c r="A989">
        <f>Data_inputs!A989</f>
        <v>986</v>
      </c>
      <c r="B989">
        <f>Data_inputs!B989-Data_inputs!C989</f>
        <v>259.0476562664893</v>
      </c>
      <c r="C989">
        <f>Data_inputs!B989*K_factor</f>
        <v>1613.930885479074</v>
      </c>
      <c r="D989">
        <f>Data_inputs!C989*K_factor</f>
        <v>1062.3416137539525</v>
      </c>
      <c r="E989">
        <f t="shared" si="30"/>
        <v>551.58927172512153</v>
      </c>
      <c r="F989">
        <f>Data_inputs!G989-Data_inputs!H989</f>
        <v>246.06944061671902</v>
      </c>
      <c r="G989">
        <f t="shared" si="31"/>
        <v>523.95480237024708</v>
      </c>
    </row>
    <row r="990" spans="1:7" x14ac:dyDescent="0.3">
      <c r="A990">
        <f>Data_inputs!A990</f>
        <v>987</v>
      </c>
      <c r="B990">
        <f>Data_inputs!B990-Data_inputs!C990</f>
        <v>302.41126218206978</v>
      </c>
      <c r="C990">
        <f>Data_inputs!B990*K_factor</f>
        <v>2268.0218441082156</v>
      </c>
      <c r="D990">
        <f>Data_inputs!C990*K_factor</f>
        <v>1624.0985974262071</v>
      </c>
      <c r="E990">
        <f t="shared" si="30"/>
        <v>643.92324668200854</v>
      </c>
      <c r="F990">
        <f>Data_inputs!G990-Data_inputs!H990</f>
        <v>336.81704575557615</v>
      </c>
      <c r="G990">
        <f t="shared" si="31"/>
        <v>717.18336174330614</v>
      </c>
    </row>
    <row r="991" spans="1:7" x14ac:dyDescent="0.3">
      <c r="A991">
        <f>Data_inputs!A991</f>
        <v>988</v>
      </c>
      <c r="B991">
        <f>Data_inputs!B991-Data_inputs!C991</f>
        <v>35.664300320416032</v>
      </c>
      <c r="C991">
        <f>Data_inputs!B991*K_factor</f>
        <v>1498.4360387732595</v>
      </c>
      <c r="D991">
        <f>Data_inputs!C991*K_factor</f>
        <v>1422.4961683886104</v>
      </c>
      <c r="E991">
        <f t="shared" si="30"/>
        <v>75.939870384649112</v>
      </c>
      <c r="F991">
        <f>Data_inputs!G991-Data_inputs!H991</f>
        <v>-7.2178099591390037</v>
      </c>
      <c r="G991">
        <f t="shared" si="31"/>
        <v>-15.368857592427615</v>
      </c>
    </row>
    <row r="992" spans="1:7" x14ac:dyDescent="0.3">
      <c r="A992">
        <f>Data_inputs!A992</f>
        <v>989</v>
      </c>
      <c r="B992">
        <f>Data_inputs!B992-Data_inputs!C992</f>
        <v>1022.0412565767911</v>
      </c>
      <c r="C992">
        <f>Data_inputs!B992*K_factor</f>
        <v>4316.3470875723433</v>
      </c>
      <c r="D992">
        <f>Data_inputs!C992*K_factor</f>
        <v>2140.1182016862708</v>
      </c>
      <c r="E992">
        <f t="shared" si="30"/>
        <v>2176.2288858860725</v>
      </c>
      <c r="F992">
        <f>Data_inputs!G992-Data_inputs!H992</f>
        <v>43.877501747665065</v>
      </c>
      <c r="G992">
        <f t="shared" si="31"/>
        <v>93.428211561253065</v>
      </c>
    </row>
    <row r="993" spans="1:7" x14ac:dyDescent="0.3">
      <c r="A993">
        <f>Data_inputs!A993</f>
        <v>990</v>
      </c>
      <c r="B993">
        <f>Data_inputs!B993-Data_inputs!C993</f>
        <v>445.86011755294112</v>
      </c>
      <c r="C993">
        <f>Data_inputs!B993*K_factor</f>
        <v>2267.2907405141118</v>
      </c>
      <c r="D993">
        <f>Data_inputs!C993*K_factor</f>
        <v>1317.9223460002183</v>
      </c>
      <c r="E993">
        <f t="shared" si="30"/>
        <v>949.36839451389346</v>
      </c>
      <c r="F993">
        <f>Data_inputs!G993-Data_inputs!H993</f>
        <v>242.981134254469</v>
      </c>
      <c r="G993">
        <f t="shared" si="31"/>
        <v>517.37888239564154</v>
      </c>
    </row>
    <row r="994" spans="1:7" x14ac:dyDescent="0.3">
      <c r="A994">
        <f>Data_inputs!A994</f>
        <v>991</v>
      </c>
      <c r="B994">
        <f>Data_inputs!B994-Data_inputs!C994</f>
        <v>275.191933639578</v>
      </c>
      <c r="C994">
        <f>Data_inputs!B994*K_factor</f>
        <v>2082.1705272982113</v>
      </c>
      <c r="D994">
        <f>Data_inputs!C994*K_factor</f>
        <v>1496.2053020242586</v>
      </c>
      <c r="E994">
        <f t="shared" si="30"/>
        <v>585.96522527395268</v>
      </c>
      <c r="F994">
        <f>Data_inputs!G994-Data_inputs!H994</f>
        <v>227.29147931618081</v>
      </c>
      <c r="G994">
        <f t="shared" si="31"/>
        <v>483.97095481290376</v>
      </c>
    </row>
    <row r="995" spans="1:7" x14ac:dyDescent="0.3">
      <c r="A995">
        <f>Data_inputs!A995</f>
        <v>992</v>
      </c>
      <c r="B995">
        <f>Data_inputs!B995-Data_inputs!C995</f>
        <v>394.23635050272685</v>
      </c>
      <c r="C995">
        <f>Data_inputs!B995*K_factor</f>
        <v>1996.135253486801</v>
      </c>
      <c r="D995">
        <f>Data_inputs!C995*K_factor</f>
        <v>1156.6891662476812</v>
      </c>
      <c r="E995">
        <f t="shared" si="30"/>
        <v>839.44608723911983</v>
      </c>
      <c r="F995">
        <f>Data_inputs!G995-Data_inputs!H995</f>
        <v>384.71843981196503</v>
      </c>
      <c r="G995">
        <f t="shared" si="31"/>
        <v>819.17963317453916</v>
      </c>
    </row>
    <row r="996" spans="1:7" x14ac:dyDescent="0.3">
      <c r="A996">
        <f>Data_inputs!A996</f>
        <v>993</v>
      </c>
      <c r="B996">
        <f>Data_inputs!B996-Data_inputs!C996</f>
        <v>588.37388485208498</v>
      </c>
      <c r="C996">
        <f>Data_inputs!B996*K_factor</f>
        <v>2855.9512799349363</v>
      </c>
      <c r="D996">
        <f>Data_inputs!C996*K_factor</f>
        <v>1603.1288173615696</v>
      </c>
      <c r="E996">
        <f t="shared" si="30"/>
        <v>1252.8224625733667</v>
      </c>
      <c r="F996">
        <f>Data_inputs!G996-Data_inputs!H996</f>
        <v>354.09601658025485</v>
      </c>
      <c r="G996">
        <f t="shared" si="31"/>
        <v>753.97541410427971</v>
      </c>
    </row>
    <row r="997" spans="1:7" x14ac:dyDescent="0.3">
      <c r="A997">
        <f>Data_inputs!A997</f>
        <v>994</v>
      </c>
      <c r="B997">
        <f>Data_inputs!B997-Data_inputs!C997</f>
        <v>355.24002745997836</v>
      </c>
      <c r="C997">
        <f>Data_inputs!B997*K_factor</f>
        <v>1565.6406407497398</v>
      </c>
      <c r="D997">
        <f>Data_inputs!C997*K_factor</f>
        <v>809.22928826606335</v>
      </c>
      <c r="E997">
        <f t="shared" si="30"/>
        <v>756.41135248367641</v>
      </c>
      <c r="F997">
        <f>Data_inputs!G997-Data_inputs!H997</f>
        <v>206.855456036654</v>
      </c>
      <c r="G997">
        <f t="shared" si="31"/>
        <v>440.45660166193096</v>
      </c>
    </row>
    <row r="998" spans="1:7" x14ac:dyDescent="0.3">
      <c r="A998">
        <f>Data_inputs!A998</f>
        <v>995</v>
      </c>
      <c r="B998">
        <f>Data_inputs!B998-Data_inputs!C998</f>
        <v>562.8720137887542</v>
      </c>
      <c r="C998">
        <f>Data_inputs!B998*K_factor</f>
        <v>2662.0543566558731</v>
      </c>
      <c r="D998">
        <f>Data_inputs!C998*K_factor</f>
        <v>1463.5329392654048</v>
      </c>
      <c r="E998">
        <f t="shared" si="30"/>
        <v>1198.5214173904683</v>
      </c>
      <c r="F998">
        <f>Data_inputs!G998-Data_inputs!H998</f>
        <v>346.54603205000012</v>
      </c>
      <c r="G998">
        <f t="shared" si="31"/>
        <v>737.89925835518068</v>
      </c>
    </row>
    <row r="999" spans="1:7" x14ac:dyDescent="0.3">
      <c r="A999">
        <f>Data_inputs!A999</f>
        <v>996</v>
      </c>
      <c r="B999">
        <f>Data_inputs!B999-Data_inputs!C999</f>
        <v>515.82772608814992</v>
      </c>
      <c r="C999">
        <f>Data_inputs!B999*K_factor</f>
        <v>2465.8115902816326</v>
      </c>
      <c r="D999">
        <f>Data_inputs!C999*K_factor</f>
        <v>1367.4614107459815</v>
      </c>
      <c r="E999">
        <f t="shared" si="30"/>
        <v>1098.350179535651</v>
      </c>
      <c r="F999">
        <f>Data_inputs!G999-Data_inputs!H999</f>
        <v>336.80760891161299</v>
      </c>
      <c r="G999">
        <f t="shared" si="31"/>
        <v>717.16326790434209</v>
      </c>
    </row>
    <row r="1000" spans="1:7" x14ac:dyDescent="0.3">
      <c r="A1000">
        <f>Data_inputs!A1000</f>
        <v>997</v>
      </c>
      <c r="B1000">
        <f>Data_inputs!B1000-Data_inputs!C1000</f>
        <v>288.14276863812904</v>
      </c>
      <c r="C1000">
        <f>Data_inputs!B1000*K_factor</f>
        <v>1820.4467754194186</v>
      </c>
      <c r="D1000">
        <f>Data_inputs!C1000*K_factor</f>
        <v>1206.9053823158131</v>
      </c>
      <c r="E1000">
        <f t="shared" si="30"/>
        <v>613.54139310360551</v>
      </c>
      <c r="F1000">
        <f>Data_inputs!G1000-Data_inputs!H1000</f>
        <v>279.40105164496686</v>
      </c>
      <c r="G1000">
        <f t="shared" si="31"/>
        <v>594.92768557434272</v>
      </c>
    </row>
    <row r="1001" spans="1:7" x14ac:dyDescent="0.3">
      <c r="A1001">
        <f>Data_inputs!A1001</f>
        <v>998</v>
      </c>
      <c r="B1001">
        <f>Data_inputs!B1001-Data_inputs!C1001</f>
        <v>316.15553153402209</v>
      </c>
      <c r="C1001">
        <f>Data_inputs!B1001*K_factor</f>
        <v>1446.3167265857378</v>
      </c>
      <c r="D1001">
        <f>Data_inputs!C1001*K_factor</f>
        <v>773.12785507044282</v>
      </c>
      <c r="E1001">
        <f t="shared" si="30"/>
        <v>673.18887151529498</v>
      </c>
      <c r="F1001">
        <f>Data_inputs!G1001-Data_inputs!H1001</f>
        <v>229.56603808465593</v>
      </c>
      <c r="G1001">
        <f t="shared" si="31"/>
        <v>488.81416487193826</v>
      </c>
    </row>
    <row r="1002" spans="1:7" x14ac:dyDescent="0.3">
      <c r="A1002">
        <f>Data_inputs!A1002</f>
        <v>999</v>
      </c>
      <c r="B1002">
        <f>Data_inputs!B1002-Data_inputs!C1002</f>
        <v>819.9898530995788</v>
      </c>
      <c r="C1002">
        <f>Data_inputs!B1002*K_factor</f>
        <v>3207.6404962091733</v>
      </c>
      <c r="D1002">
        <f>Data_inputs!C1002*K_factor</f>
        <v>1461.6389596120023</v>
      </c>
      <c r="E1002">
        <f t="shared" si="30"/>
        <v>1746.001536597171</v>
      </c>
      <c r="F1002">
        <f>Data_inputs!G1002-Data_inputs!H1002</f>
        <v>460.8958788275836</v>
      </c>
      <c r="G1002">
        <f t="shared" si="31"/>
        <v>981.38398859740471</v>
      </c>
    </row>
    <row r="1003" spans="1:7" x14ac:dyDescent="0.3">
      <c r="A1003">
        <f>Data_inputs!A1003</f>
        <v>1000</v>
      </c>
      <c r="B1003">
        <f>Data_inputs!B1003-Data_inputs!C1003</f>
        <v>1005.4876629219349</v>
      </c>
      <c r="C1003">
        <f>Data_inputs!B1003*K_factor</f>
        <v>4235.0338575990418</v>
      </c>
      <c r="D1003">
        <f>Data_inputs!C1003*K_factor</f>
        <v>2094.0524809941285</v>
      </c>
      <c r="E1003">
        <f t="shared" si="30"/>
        <v>2140.9813766049133</v>
      </c>
      <c r="F1003">
        <f>Data_inputs!G1003-Data_inputs!H1003</f>
        <v>31.948715558138929</v>
      </c>
      <c r="G1003">
        <f t="shared" si="31"/>
        <v>68.028288698887522</v>
      </c>
    </row>
    <row r="1004" spans="1:7" x14ac:dyDescent="0.3">
      <c r="A1004">
        <f>Data_inputs!A1004</f>
        <v>1001</v>
      </c>
      <c r="B1004">
        <f>Data_inputs!B1004-Data_inputs!C1004</f>
        <v>405.51542721216146</v>
      </c>
      <c r="C1004">
        <f>Data_inputs!B1004*K_factor</f>
        <v>1924.0597455056384</v>
      </c>
      <c r="D1004">
        <f>Data_inputs!C1004*K_factor</f>
        <v>1060.5971595359194</v>
      </c>
      <c r="E1004">
        <f t="shared" si="30"/>
        <v>863.46258596971893</v>
      </c>
      <c r="F1004">
        <f>Data_inputs!G1004-Data_inputs!H1004</f>
        <v>264.67347338102286</v>
      </c>
      <c r="G1004">
        <f t="shared" si="31"/>
        <v>563.56830450151551</v>
      </c>
    </row>
    <row r="1005" spans="1:7" x14ac:dyDescent="0.3">
      <c r="A1005">
        <f>Data_inputs!A1005</f>
        <v>1002</v>
      </c>
      <c r="B1005">
        <f>Data_inputs!B1005-Data_inputs!C1005</f>
        <v>373.23739334120614</v>
      </c>
      <c r="C1005">
        <f>Data_inputs!B1005*K_factor</f>
        <v>2215.5590136386168</v>
      </c>
      <c r="D1005">
        <f>Data_inputs!C1005*K_factor</f>
        <v>1420.8259327036139</v>
      </c>
      <c r="E1005">
        <f t="shared" si="30"/>
        <v>794.73308093500282</v>
      </c>
      <c r="F1005">
        <f>Data_inputs!G1005-Data_inputs!H1005</f>
        <v>278.8051706734941</v>
      </c>
      <c r="G1005">
        <f t="shared" si="31"/>
        <v>593.65887829838971</v>
      </c>
    </row>
    <row r="1006" spans="1:7" x14ac:dyDescent="0.3">
      <c r="A1006">
        <f>Data_inputs!A1006</f>
        <v>1003</v>
      </c>
      <c r="B1006">
        <f>Data_inputs!B1006-Data_inputs!C1006</f>
        <v>754.77391417442936</v>
      </c>
      <c r="C1006">
        <f>Data_inputs!B1006*K_factor</f>
        <v>3135.7375235686368</v>
      </c>
      <c r="D1006">
        <f>Data_inputs!C1006*K_factor</f>
        <v>1528.6000584517624</v>
      </c>
      <c r="E1006">
        <f t="shared" si="30"/>
        <v>1607.1374651168744</v>
      </c>
      <c r="F1006">
        <f>Data_inputs!G1006-Data_inputs!H1006</f>
        <v>446.86782321088094</v>
      </c>
      <c r="G1006">
        <f t="shared" si="31"/>
        <v>951.51409865956055</v>
      </c>
    </row>
    <row r="1007" spans="1:7" x14ac:dyDescent="0.3">
      <c r="A1007">
        <f>Data_inputs!A1007</f>
        <v>1004</v>
      </c>
      <c r="B1007">
        <f>Data_inputs!B1007-Data_inputs!C1007</f>
        <v>1339.6228680088611</v>
      </c>
      <c r="C1007">
        <f>Data_inputs!B1007*K_factor</f>
        <v>5155.7231070548441</v>
      </c>
      <c r="D1007">
        <f>Data_inputs!C1007*K_factor</f>
        <v>2303.2688026963519</v>
      </c>
      <c r="E1007">
        <f t="shared" si="30"/>
        <v>2852.4543043584922</v>
      </c>
      <c r="F1007">
        <f>Data_inputs!G1007-Data_inputs!H1007</f>
        <v>261.83641667617985</v>
      </c>
      <c r="G1007">
        <f t="shared" si="31"/>
        <v>557.52736954683917</v>
      </c>
    </row>
    <row r="1008" spans="1:7" x14ac:dyDescent="0.3">
      <c r="A1008">
        <f>Data_inputs!A1008</f>
        <v>1005</v>
      </c>
      <c r="B1008">
        <f>Data_inputs!B1008-Data_inputs!C1008</f>
        <v>177.53907357762068</v>
      </c>
      <c r="C1008">
        <f>Data_inputs!B1008*K_factor</f>
        <v>1591.5326198876464</v>
      </c>
      <c r="D1008">
        <f>Data_inputs!C1008*K_factor</f>
        <v>1213.4992892301757</v>
      </c>
      <c r="E1008">
        <f t="shared" si="30"/>
        <v>378.03333065747074</v>
      </c>
      <c r="F1008">
        <f>Data_inputs!G1008-Data_inputs!H1008</f>
        <v>149.45167600297896</v>
      </c>
      <c r="G1008">
        <f t="shared" si="31"/>
        <v>318.22693288441849</v>
      </c>
    </row>
    <row r="1009" spans="1:7" x14ac:dyDescent="0.3">
      <c r="A1009">
        <f>Data_inputs!A1009</f>
        <v>1006</v>
      </c>
      <c r="B1009">
        <f>Data_inputs!B1009-Data_inputs!C1009</f>
        <v>351.22129242682422</v>
      </c>
      <c r="C1009">
        <f>Data_inputs!B1009*K_factor</f>
        <v>1993.6447941458266</v>
      </c>
      <c r="D1009">
        <f>Data_inputs!C1009*K_factor</f>
        <v>1245.7905201632325</v>
      </c>
      <c r="E1009">
        <f t="shared" si="30"/>
        <v>747.85427398259412</v>
      </c>
      <c r="F1009">
        <f>Data_inputs!G1009-Data_inputs!H1009</f>
        <v>304.06496189389009</v>
      </c>
      <c r="G1009">
        <f t="shared" si="31"/>
        <v>647.44446371535844</v>
      </c>
    </row>
    <row r="1010" spans="1:7" x14ac:dyDescent="0.3">
      <c r="A1010">
        <f>Data_inputs!A1010</f>
        <v>1007</v>
      </c>
      <c r="B1010">
        <f>Data_inputs!B1010-Data_inputs!C1010</f>
        <v>353.94062737800027</v>
      </c>
      <c r="C1010">
        <f>Data_inputs!B1010*K_factor</f>
        <v>2555.1215797238597</v>
      </c>
      <c r="D1010">
        <f>Data_inputs!C1010*K_factor</f>
        <v>1801.47703530642</v>
      </c>
      <c r="E1010">
        <f t="shared" si="30"/>
        <v>753.64454441743965</v>
      </c>
      <c r="F1010">
        <f>Data_inputs!G1010-Data_inputs!H1010</f>
        <v>195.85405137577982</v>
      </c>
      <c r="G1010">
        <f t="shared" si="31"/>
        <v>417.03134905666371</v>
      </c>
    </row>
    <row r="1011" spans="1:7" x14ac:dyDescent="0.3">
      <c r="A1011">
        <f>Data_inputs!A1011</f>
        <v>1008</v>
      </c>
      <c r="B1011">
        <f>Data_inputs!B1011-Data_inputs!C1011</f>
        <v>443.88161378701739</v>
      </c>
      <c r="C1011">
        <f>Data_inputs!B1011*K_factor</f>
        <v>1891.8774103678004</v>
      </c>
      <c r="D1011">
        <f>Data_inputs!C1011*K_factor</f>
        <v>946.72183702773987</v>
      </c>
      <c r="E1011">
        <f t="shared" si="30"/>
        <v>945.15557334006053</v>
      </c>
      <c r="F1011">
        <f>Data_inputs!G1011-Data_inputs!H1011</f>
        <v>186.76436466574501</v>
      </c>
      <c r="G1011">
        <f t="shared" si="31"/>
        <v>397.6767108219143</v>
      </c>
    </row>
    <row r="1012" spans="1:7" x14ac:dyDescent="0.3">
      <c r="A1012">
        <f>Data_inputs!A1012</f>
        <v>1009</v>
      </c>
      <c r="B1012">
        <f>Data_inputs!B1012-Data_inputs!C1012</f>
        <v>1263.0144382534741</v>
      </c>
      <c r="C1012">
        <f>Data_inputs!B1012*K_factor</f>
        <v>4583.7904024383806</v>
      </c>
      <c r="D1012">
        <f>Data_inputs!C1012*K_factor</f>
        <v>1894.458160582971</v>
      </c>
      <c r="E1012">
        <f t="shared" si="30"/>
        <v>2689.3322418554098</v>
      </c>
      <c r="F1012">
        <f>Data_inputs!G1012-Data_inputs!H1012</f>
        <v>16.966872290463016</v>
      </c>
      <c r="G1012">
        <f t="shared" si="31"/>
        <v>36.127502039709825</v>
      </c>
    </row>
    <row r="1013" spans="1:7" x14ac:dyDescent="0.3">
      <c r="A1013">
        <f>Data_inputs!A1013</f>
        <v>1010</v>
      </c>
      <c r="B1013">
        <f>Data_inputs!B1013-Data_inputs!C1013</f>
        <v>848.24721720754633</v>
      </c>
      <c r="C1013">
        <f>Data_inputs!B1013*K_factor</f>
        <v>3703.9351907354853</v>
      </c>
      <c r="D1013">
        <f>Data_inputs!C1013*K_factor</f>
        <v>1897.7653472181728</v>
      </c>
      <c r="E1013">
        <f t="shared" si="30"/>
        <v>1806.1698435173125</v>
      </c>
      <c r="F1013">
        <f>Data_inputs!G1013-Data_inputs!H1013</f>
        <v>622.10354084927394</v>
      </c>
      <c r="G1013">
        <f t="shared" si="31"/>
        <v>1324.6429015426695</v>
      </c>
    </row>
    <row r="1014" spans="1:7" x14ac:dyDescent="0.3">
      <c r="A1014">
        <f>Data_inputs!A1014</f>
        <v>1011</v>
      </c>
      <c r="B1014">
        <f>Data_inputs!B1014-Data_inputs!C1014</f>
        <v>582.24654754191567</v>
      </c>
      <c r="C1014">
        <f>Data_inputs!B1014*K_factor</f>
        <v>2878.0932087468391</v>
      </c>
      <c r="D1014">
        <f>Data_inputs!C1014*K_factor</f>
        <v>1638.3176641546706</v>
      </c>
      <c r="E1014">
        <f t="shared" si="30"/>
        <v>1239.7755445921684</v>
      </c>
      <c r="F1014">
        <f>Data_inputs!G1014-Data_inputs!H1014</f>
        <v>427.70307810087297</v>
      </c>
      <c r="G1014">
        <f t="shared" si="31"/>
        <v>910.70667368462796</v>
      </c>
    </row>
    <row r="1015" spans="1:7" x14ac:dyDescent="0.3">
      <c r="A1015">
        <f>Data_inputs!A1015</f>
        <v>1012</v>
      </c>
      <c r="B1015">
        <f>Data_inputs!B1015-Data_inputs!C1015</f>
        <v>1207.022106598499</v>
      </c>
      <c r="C1015">
        <f>Data_inputs!B1015*K_factor</f>
        <v>4771.1670659110177</v>
      </c>
      <c r="D1015">
        <f>Data_inputs!C1015*K_factor</f>
        <v>2201.0591007191538</v>
      </c>
      <c r="E1015">
        <f t="shared" si="30"/>
        <v>2570.107965191864</v>
      </c>
      <c r="F1015">
        <f>Data_inputs!G1015-Data_inputs!H1015</f>
        <v>206.93522091250384</v>
      </c>
      <c r="G1015">
        <f t="shared" si="31"/>
        <v>440.62644473410296</v>
      </c>
    </row>
    <row r="1016" spans="1:7" x14ac:dyDescent="0.3">
      <c r="A1016">
        <f>Data_inputs!A1016</f>
        <v>1013</v>
      </c>
      <c r="B1016">
        <f>Data_inputs!B1016-Data_inputs!C1016</f>
        <v>330.20132015347582</v>
      </c>
      <c r="C1016">
        <f>Data_inputs!B1016*K_factor</f>
        <v>1540.9227553364601</v>
      </c>
      <c r="D1016">
        <f>Data_inputs!C1016*K_factor</f>
        <v>837.82623506236143</v>
      </c>
      <c r="E1016">
        <f t="shared" si="30"/>
        <v>703.09652027409868</v>
      </c>
      <c r="F1016">
        <f>Data_inputs!G1016-Data_inputs!H1016</f>
        <v>279.94955038827902</v>
      </c>
      <c r="G1016">
        <f t="shared" si="31"/>
        <v>596.09560203699721</v>
      </c>
    </row>
    <row r="1017" spans="1:7" x14ac:dyDescent="0.3">
      <c r="A1017">
        <f>Data_inputs!A1017</f>
        <v>1014</v>
      </c>
      <c r="B1017">
        <f>Data_inputs!B1017-Data_inputs!C1017</f>
        <v>702.24578660463408</v>
      </c>
      <c r="C1017">
        <f>Data_inputs!B1017*K_factor</f>
        <v>4269.3997962688773</v>
      </c>
      <c r="D1017">
        <f>Data_inputs!C1017*K_factor</f>
        <v>2774.1102901294876</v>
      </c>
      <c r="E1017">
        <f t="shared" si="30"/>
        <v>1495.2895061393897</v>
      </c>
      <c r="F1017">
        <f>Data_inputs!G1017-Data_inputs!H1017</f>
        <v>591.17372835157175</v>
      </c>
      <c r="G1017">
        <f t="shared" si="31"/>
        <v>1258.7841595795633</v>
      </c>
    </row>
    <row r="1018" spans="1:7" x14ac:dyDescent="0.3">
      <c r="A1018">
        <f>Data_inputs!A1018</f>
        <v>1015</v>
      </c>
      <c r="B1018">
        <f>Data_inputs!B1018-Data_inputs!C1018</f>
        <v>355.65392658732571</v>
      </c>
      <c r="C1018">
        <f>Data_inputs!B1018*K_factor</f>
        <v>2130.4473726698193</v>
      </c>
      <c r="D1018">
        <f>Data_inputs!C1018*K_factor</f>
        <v>1373.1547062166919</v>
      </c>
      <c r="E1018">
        <f t="shared" si="30"/>
        <v>757.29266645312737</v>
      </c>
      <c r="F1018">
        <f>Data_inputs!G1018-Data_inputs!H1018</f>
        <v>346.32467144466591</v>
      </c>
      <c r="G1018">
        <f t="shared" si="31"/>
        <v>737.42791598966892</v>
      </c>
    </row>
    <row r="1019" spans="1:7" x14ac:dyDescent="0.3">
      <c r="A1019">
        <f>Data_inputs!A1019</f>
        <v>1016</v>
      </c>
      <c r="B1019">
        <f>Data_inputs!B1019-Data_inputs!C1019</f>
        <v>318.87906894752541</v>
      </c>
      <c r="C1019">
        <f>Data_inputs!B1019*K_factor</f>
        <v>2182.7251014041763</v>
      </c>
      <c r="D1019">
        <f>Data_inputs!C1019*K_factor</f>
        <v>1503.7370111656478</v>
      </c>
      <c r="E1019">
        <f t="shared" si="30"/>
        <v>678.98809023852846</v>
      </c>
      <c r="F1019">
        <f>Data_inputs!G1019-Data_inputs!H1019</f>
        <v>197.54542428437207</v>
      </c>
      <c r="G1019">
        <f t="shared" si="31"/>
        <v>420.63278349661198</v>
      </c>
    </row>
    <row r="1020" spans="1:7" x14ac:dyDescent="0.3">
      <c r="A1020">
        <f>Data_inputs!A1020</f>
        <v>1017</v>
      </c>
      <c r="B1020">
        <f>Data_inputs!B1020-Data_inputs!C1020</f>
        <v>189.90415710235163</v>
      </c>
      <c r="C1020">
        <f>Data_inputs!B1020*K_factor</f>
        <v>1907.8289404811169</v>
      </c>
      <c r="D1020">
        <f>Data_inputs!C1020*K_factor</f>
        <v>1503.4666805658949</v>
      </c>
      <c r="E1020">
        <f t="shared" si="30"/>
        <v>404.36225991522201</v>
      </c>
      <c r="F1020">
        <f>Data_inputs!G1020-Data_inputs!H1020</f>
        <v>179.35774818516211</v>
      </c>
      <c r="G1020">
        <f t="shared" si="31"/>
        <v>381.90582816135384</v>
      </c>
    </row>
    <row r="1021" spans="1:7" x14ac:dyDescent="0.3">
      <c r="A1021">
        <f>Data_inputs!A1021</f>
        <v>1018</v>
      </c>
      <c r="B1021">
        <f>Data_inputs!B1021-Data_inputs!C1021</f>
        <v>591.19969194676401</v>
      </c>
      <c r="C1021">
        <f>Data_inputs!B1021*K_factor</f>
        <v>3599.2756649593948</v>
      </c>
      <c r="D1021">
        <f>Data_inputs!C1021*K_factor</f>
        <v>2340.4362211870698</v>
      </c>
      <c r="E1021">
        <f t="shared" si="30"/>
        <v>1258.839443772325</v>
      </c>
      <c r="F1021">
        <f>Data_inputs!G1021-Data_inputs!H1021</f>
        <v>618.38897089218381</v>
      </c>
      <c r="G1021">
        <f t="shared" si="31"/>
        <v>1316.7334806780561</v>
      </c>
    </row>
    <row r="1022" spans="1:7" x14ac:dyDescent="0.3">
      <c r="A1022">
        <f>Data_inputs!A1022</f>
        <v>1019</v>
      </c>
      <c r="B1022">
        <f>Data_inputs!B1022-Data_inputs!C1022</f>
        <v>653.25981871196745</v>
      </c>
      <c r="C1022">
        <f>Data_inputs!B1022*K_factor</f>
        <v>3458.807635790527</v>
      </c>
      <c r="D1022">
        <f>Data_inputs!C1022*K_factor</f>
        <v>2067.8237803722914</v>
      </c>
      <c r="E1022">
        <f t="shared" si="30"/>
        <v>1390.9838554182356</v>
      </c>
      <c r="F1022">
        <f>Data_inputs!G1022-Data_inputs!H1022</f>
        <v>662.43699233245388</v>
      </c>
      <c r="G1022">
        <f t="shared" si="31"/>
        <v>1410.5247792265236</v>
      </c>
    </row>
    <row r="1023" spans="1:7" x14ac:dyDescent="0.3">
      <c r="A1023">
        <f>Data_inputs!A1023</f>
        <v>1020</v>
      </c>
      <c r="B1023">
        <f>Data_inputs!B1023-Data_inputs!C1023</f>
        <v>275.85374629518344</v>
      </c>
      <c r="C1023">
        <f>Data_inputs!B1023*K_factor</f>
        <v>2091.6685303214308</v>
      </c>
      <c r="D1023">
        <f>Data_inputs!C1023*K_factor</f>
        <v>1504.2941096662687</v>
      </c>
      <c r="E1023">
        <f t="shared" si="30"/>
        <v>587.37442065516211</v>
      </c>
      <c r="F1023">
        <f>Data_inputs!G1023-Data_inputs!H1023</f>
        <v>252.56331210931421</v>
      </c>
      <c r="G1023">
        <f t="shared" si="31"/>
        <v>537.78218030873836</v>
      </c>
    </row>
    <row r="1024" spans="1:7" x14ac:dyDescent="0.3">
      <c r="A1024">
        <f>Data_inputs!A1024</f>
        <v>1021</v>
      </c>
      <c r="B1024">
        <f>Data_inputs!B1024-Data_inputs!C1024</f>
        <v>44.265608209504308</v>
      </c>
      <c r="C1024">
        <f>Data_inputs!B1024*K_factor</f>
        <v>1725.6631033759222</v>
      </c>
      <c r="D1024">
        <f>Data_inputs!C1024*K_factor</f>
        <v>1631.408498077999</v>
      </c>
      <c r="E1024">
        <f t="shared" si="30"/>
        <v>94.254605297923263</v>
      </c>
      <c r="F1024">
        <f>Data_inputs!G1024-Data_inputs!H1024</f>
        <v>196.21831312131599</v>
      </c>
      <c r="G1024">
        <f t="shared" si="31"/>
        <v>417.80697032200698</v>
      </c>
    </row>
    <row r="1025" spans="1:7" x14ac:dyDescent="0.3">
      <c r="A1025">
        <f>Data_inputs!A1025</f>
        <v>1022</v>
      </c>
      <c r="B1025">
        <f>Data_inputs!B1025-Data_inputs!C1025</f>
        <v>268.92449635463356</v>
      </c>
      <c r="C1025">
        <f>Data_inputs!B1025*K_factor</f>
        <v>2136.2419862762845</v>
      </c>
      <c r="D1025">
        <f>Data_inputs!C1025*K_factor</f>
        <v>1563.6219933715797</v>
      </c>
      <c r="E1025">
        <f t="shared" si="30"/>
        <v>572.61999290470476</v>
      </c>
      <c r="F1025">
        <f>Data_inputs!G1025-Data_inputs!H1025</f>
        <v>193.93538998444001</v>
      </c>
      <c r="G1025">
        <f t="shared" si="31"/>
        <v>412.94595004248572</v>
      </c>
    </row>
    <row r="1026" spans="1:7" x14ac:dyDescent="0.3">
      <c r="A1026">
        <f>Data_inputs!A1026</f>
        <v>1023</v>
      </c>
      <c r="B1026">
        <f>Data_inputs!B1026-Data_inputs!C1026</f>
        <v>506.00507193453507</v>
      </c>
      <c r="C1026">
        <f>Data_inputs!B1026*K_factor</f>
        <v>2499.5830492320192</v>
      </c>
      <c r="D1026">
        <f>Data_inputs!C1026*K_factor</f>
        <v>1422.1482129543922</v>
      </c>
      <c r="E1026">
        <f t="shared" si="30"/>
        <v>1077.434836277627</v>
      </c>
      <c r="F1026">
        <f>Data_inputs!G1026-Data_inputs!H1026</f>
        <v>214.06776961501282</v>
      </c>
      <c r="G1026">
        <f t="shared" si="31"/>
        <v>455.81375582991785</v>
      </c>
    </row>
    <row r="1027" spans="1:7" x14ac:dyDescent="0.3">
      <c r="A1027">
        <f>Data_inputs!A1027</f>
        <v>1024</v>
      </c>
      <c r="B1027">
        <f>Data_inputs!B1027-Data_inputs!C1027</f>
        <v>356.93424793080601</v>
      </c>
      <c r="C1027">
        <f>Data_inputs!B1027*K_factor</f>
        <v>2045.5248144730792</v>
      </c>
      <c r="D1027">
        <f>Data_inputs!C1027*K_factor</f>
        <v>1285.5059642451104</v>
      </c>
      <c r="E1027">
        <f t="shared" si="30"/>
        <v>760.01885022796887</v>
      </c>
      <c r="F1027">
        <f>Data_inputs!G1027-Data_inputs!H1027</f>
        <v>177.91635074737201</v>
      </c>
      <c r="G1027">
        <f t="shared" si="31"/>
        <v>378.83666562023745</v>
      </c>
    </row>
    <row r="1028" spans="1:7" x14ac:dyDescent="0.3">
      <c r="A1028">
        <f>Data_inputs!A1028</f>
        <v>1025</v>
      </c>
      <c r="B1028">
        <f>Data_inputs!B1028-Data_inputs!C1028</f>
        <v>148.26084318848666</v>
      </c>
      <c r="C1028">
        <f>Data_inputs!B1028*K_factor</f>
        <v>1710.3023224575168</v>
      </c>
      <c r="D1028">
        <f>Data_inputs!C1028*K_factor</f>
        <v>1394.6110257350269</v>
      </c>
      <c r="E1028">
        <f t="shared" ref="E1028:E1091" si="32">C1028-D1028</f>
        <v>315.69129672248982</v>
      </c>
      <c r="F1028">
        <f>Data_inputs!G1028-Data_inputs!H1028</f>
        <v>246.0798597707219</v>
      </c>
      <c r="G1028">
        <f t="shared" ref="G1028:G1091" si="33">F1028*K_factor</f>
        <v>523.97698783855537</v>
      </c>
    </row>
    <row r="1029" spans="1:7" x14ac:dyDescent="0.3">
      <c r="A1029">
        <f>Data_inputs!A1029</f>
        <v>1026</v>
      </c>
      <c r="B1029">
        <f>Data_inputs!B1029-Data_inputs!C1029</f>
        <v>140.25876100799405</v>
      </c>
      <c r="C1029">
        <f>Data_inputs!B1029*K_factor</f>
        <v>2732.4880715565355</v>
      </c>
      <c r="D1029">
        <f>Data_inputs!C1029*K_factor</f>
        <v>2433.8355805342671</v>
      </c>
      <c r="E1029">
        <f t="shared" si="32"/>
        <v>298.65249102226835</v>
      </c>
      <c r="F1029">
        <f>Data_inputs!G1029-Data_inputs!H1029</f>
        <v>273.68553627753499</v>
      </c>
      <c r="G1029">
        <f t="shared" si="33"/>
        <v>582.75765862064463</v>
      </c>
    </row>
    <row r="1030" spans="1:7" x14ac:dyDescent="0.3">
      <c r="A1030">
        <f>Data_inputs!A1030</f>
        <v>1027</v>
      </c>
      <c r="B1030">
        <f>Data_inputs!B1030-Data_inputs!C1030</f>
        <v>576.93874820409405</v>
      </c>
      <c r="C1030">
        <f>Data_inputs!B1030*K_factor</f>
        <v>3816.7763007084641</v>
      </c>
      <c r="D1030">
        <f>Data_inputs!C1030*K_factor</f>
        <v>2588.3026347490063</v>
      </c>
      <c r="E1030">
        <f t="shared" si="32"/>
        <v>1228.4736659594578</v>
      </c>
      <c r="F1030">
        <f>Data_inputs!G1030-Data_inputs!H1030</f>
        <v>388.73940517869687</v>
      </c>
      <c r="G1030">
        <f t="shared" si="33"/>
        <v>827.74146071713585</v>
      </c>
    </row>
    <row r="1031" spans="1:7" x14ac:dyDescent="0.3">
      <c r="A1031">
        <f>Data_inputs!A1031</f>
        <v>1028</v>
      </c>
      <c r="B1031">
        <f>Data_inputs!B1031-Data_inputs!C1031</f>
        <v>308.3729334803096</v>
      </c>
      <c r="C1031">
        <f>Data_inputs!B1031*K_factor</f>
        <v>1819.9496408897619</v>
      </c>
      <c r="D1031">
        <f>Data_inputs!C1031*K_factor</f>
        <v>1163.3322282884224</v>
      </c>
      <c r="E1031">
        <f t="shared" si="32"/>
        <v>656.61741260133954</v>
      </c>
      <c r="F1031">
        <f>Data_inputs!G1031-Data_inputs!H1031</f>
        <v>249.90169090071686</v>
      </c>
      <c r="G1031">
        <f t="shared" si="33"/>
        <v>532.1147995448373</v>
      </c>
    </row>
    <row r="1032" spans="1:7" x14ac:dyDescent="0.3">
      <c r="A1032">
        <f>Data_inputs!A1032</f>
        <v>1029</v>
      </c>
      <c r="B1032">
        <f>Data_inputs!B1032-Data_inputs!C1032</f>
        <v>-82.170177057643059</v>
      </c>
      <c r="C1032">
        <f>Data_inputs!B1032*K_factor</f>
        <v>1533.4033773668737</v>
      </c>
      <c r="D1032">
        <f>Data_inputs!C1032*K_factor</f>
        <v>1708.3680490183456</v>
      </c>
      <c r="E1032">
        <f t="shared" si="32"/>
        <v>-174.96467165147192</v>
      </c>
      <c r="F1032">
        <f>Data_inputs!G1032-Data_inputs!H1032</f>
        <v>363.23857995219191</v>
      </c>
      <c r="G1032">
        <f t="shared" si="33"/>
        <v>773.44264243094608</v>
      </c>
    </row>
    <row r="1033" spans="1:7" x14ac:dyDescent="0.3">
      <c r="A1033">
        <f>Data_inputs!A1033</f>
        <v>1030</v>
      </c>
      <c r="B1033">
        <f>Data_inputs!B1033-Data_inputs!C1033</f>
        <v>272.86540589103288</v>
      </c>
      <c r="C1033">
        <f>Data_inputs!B1033*K_factor</f>
        <v>1332.6385777992921</v>
      </c>
      <c r="D1033">
        <f>Data_inputs!C1033*K_factor</f>
        <v>751.62721995252889</v>
      </c>
      <c r="E1033">
        <f t="shared" si="32"/>
        <v>581.01135784676319</v>
      </c>
      <c r="F1033">
        <f>Data_inputs!G1033-Data_inputs!H1033</f>
        <v>224.32389844395198</v>
      </c>
      <c r="G1033">
        <f t="shared" si="33"/>
        <v>477.65209520348037</v>
      </c>
    </row>
    <row r="1034" spans="1:7" x14ac:dyDescent="0.3">
      <c r="A1034">
        <f>Data_inputs!A1034</f>
        <v>1031</v>
      </c>
      <c r="B1034">
        <f>Data_inputs!B1034-Data_inputs!C1034</f>
        <v>313.97025699391861</v>
      </c>
      <c r="C1034">
        <f>Data_inputs!B1034*K_factor</f>
        <v>1874.4711757786376</v>
      </c>
      <c r="D1034">
        <f>Data_inputs!C1034*K_factor</f>
        <v>1205.9354017260546</v>
      </c>
      <c r="E1034">
        <f t="shared" si="32"/>
        <v>668.53577405258306</v>
      </c>
      <c r="F1034">
        <f>Data_inputs!G1034-Data_inputs!H1034</f>
        <v>167.72596557607176</v>
      </c>
      <c r="G1034">
        <f t="shared" si="33"/>
        <v>357.13831398777336</v>
      </c>
    </row>
    <row r="1035" spans="1:7" x14ac:dyDescent="0.3">
      <c r="A1035">
        <f>Data_inputs!A1035</f>
        <v>1032</v>
      </c>
      <c r="B1035">
        <f>Data_inputs!B1035-Data_inputs!C1035</f>
        <v>331.32399125047891</v>
      </c>
      <c r="C1035">
        <f>Data_inputs!B1035*K_factor</f>
        <v>2650.382618805148</v>
      </c>
      <c r="D1035">
        <f>Data_inputs!C1035*K_factor</f>
        <v>1944.8955988766315</v>
      </c>
      <c r="E1035">
        <f t="shared" si="32"/>
        <v>705.48701992851647</v>
      </c>
      <c r="F1035">
        <f>Data_inputs!G1035-Data_inputs!H1035</f>
        <v>478.92626775299505</v>
      </c>
      <c r="G1035">
        <f t="shared" si="33"/>
        <v>1019.7760329016285</v>
      </c>
    </row>
    <row r="1036" spans="1:7" x14ac:dyDescent="0.3">
      <c r="A1036">
        <f>Data_inputs!A1036</f>
        <v>1033</v>
      </c>
      <c r="B1036">
        <f>Data_inputs!B1036-Data_inputs!C1036</f>
        <v>456.10707237328893</v>
      </c>
      <c r="C1036">
        <f>Data_inputs!B1036*K_factor</f>
        <v>3267.490950333387</v>
      </c>
      <c r="D1036">
        <f>Data_inputs!C1036*K_factor</f>
        <v>2296.3037506304536</v>
      </c>
      <c r="E1036">
        <f t="shared" si="32"/>
        <v>971.18719970293341</v>
      </c>
      <c r="F1036">
        <f>Data_inputs!G1036-Data_inputs!H1036</f>
        <v>430.74478624549192</v>
      </c>
      <c r="G1036">
        <f t="shared" si="33"/>
        <v>917.18337223682317</v>
      </c>
    </row>
    <row r="1037" spans="1:7" x14ac:dyDescent="0.3">
      <c r="A1037">
        <f>Data_inputs!A1037</f>
        <v>1034</v>
      </c>
      <c r="B1037">
        <f>Data_inputs!B1037-Data_inputs!C1037</f>
        <v>478.39300465889312</v>
      </c>
      <c r="C1037">
        <f>Data_inputs!B1037*K_factor</f>
        <v>2177.0601461821998</v>
      </c>
      <c r="D1037">
        <f>Data_inputs!C1037*K_factor</f>
        <v>1158.4195885284576</v>
      </c>
      <c r="E1037">
        <f t="shared" si="32"/>
        <v>1018.6405576537422</v>
      </c>
      <c r="F1037">
        <f>Data_inputs!G1037-Data_inputs!H1037</f>
        <v>253.82438799243619</v>
      </c>
      <c r="G1037">
        <f t="shared" si="33"/>
        <v>540.46738479190799</v>
      </c>
    </row>
    <row r="1038" spans="1:7" x14ac:dyDescent="0.3">
      <c r="A1038">
        <f>Data_inputs!A1038</f>
        <v>1035</v>
      </c>
      <c r="B1038">
        <f>Data_inputs!B1038-Data_inputs!C1038</f>
        <v>286.19577406955869</v>
      </c>
      <c r="C1038">
        <f>Data_inputs!B1038*K_factor</f>
        <v>1463.2649182531723</v>
      </c>
      <c r="D1038">
        <f>Data_inputs!C1038*K_factor</f>
        <v>853.86925389928251</v>
      </c>
      <c r="E1038">
        <f t="shared" si="32"/>
        <v>609.39566435388974</v>
      </c>
      <c r="F1038">
        <f>Data_inputs!G1038-Data_inputs!H1038</f>
        <v>212.52544937277798</v>
      </c>
      <c r="G1038">
        <f t="shared" si="33"/>
        <v>452.52969871300627</v>
      </c>
    </row>
    <row r="1039" spans="1:7" x14ac:dyDescent="0.3">
      <c r="A1039">
        <f>Data_inputs!A1039</f>
        <v>1036</v>
      </c>
      <c r="B1039">
        <f>Data_inputs!B1039-Data_inputs!C1039</f>
        <v>228.49406048156129</v>
      </c>
      <c r="C1039">
        <f>Data_inputs!B1039*K_factor</f>
        <v>1590.8150689362064</v>
      </c>
      <c r="D1039">
        <f>Data_inputs!C1039*K_factor</f>
        <v>1104.28346223877</v>
      </c>
      <c r="E1039">
        <f t="shared" si="32"/>
        <v>486.53160669743647</v>
      </c>
      <c r="F1039">
        <f>Data_inputs!G1039-Data_inputs!H1039</f>
        <v>205.83265314876189</v>
      </c>
      <c r="G1039">
        <f t="shared" si="33"/>
        <v>438.27875103713944</v>
      </c>
    </row>
    <row r="1040" spans="1:7" x14ac:dyDescent="0.3">
      <c r="A1040">
        <f>Data_inputs!A1040</f>
        <v>1037</v>
      </c>
      <c r="B1040">
        <f>Data_inputs!B1040-Data_inputs!C1040</f>
        <v>549.91066011709245</v>
      </c>
      <c r="C1040">
        <f>Data_inputs!B1040*K_factor</f>
        <v>2679.2834636216512</v>
      </c>
      <c r="D1040">
        <f>Data_inputs!C1040*K_factor</f>
        <v>1508.360611434834</v>
      </c>
      <c r="E1040">
        <f t="shared" si="32"/>
        <v>1170.9228521868172</v>
      </c>
      <c r="F1040">
        <f>Data_inputs!G1040-Data_inputs!H1040</f>
        <v>410.17851712807078</v>
      </c>
      <c r="G1040">
        <f t="shared" si="33"/>
        <v>873.39168707711974</v>
      </c>
    </row>
    <row r="1041" spans="1:7" x14ac:dyDescent="0.3">
      <c r="A1041">
        <f>Data_inputs!A1041</f>
        <v>1038</v>
      </c>
      <c r="B1041">
        <f>Data_inputs!B1041-Data_inputs!C1041</f>
        <v>925.36789428257214</v>
      </c>
      <c r="C1041">
        <f>Data_inputs!B1041*K_factor</f>
        <v>3783.6225449476128</v>
      </c>
      <c r="D1041">
        <f>Data_inputs!C1041*K_factor</f>
        <v>1813.2399124946585</v>
      </c>
      <c r="E1041">
        <f t="shared" si="32"/>
        <v>1970.3826324529543</v>
      </c>
      <c r="F1041">
        <f>Data_inputs!G1041-Data_inputs!H1041</f>
        <v>9.4428029915300158</v>
      </c>
      <c r="G1041">
        <f t="shared" si="33"/>
        <v>20.106527502351408</v>
      </c>
    </row>
    <row r="1042" spans="1:7" x14ac:dyDescent="0.3">
      <c r="A1042">
        <f>Data_inputs!A1042</f>
        <v>1039</v>
      </c>
      <c r="B1042">
        <f>Data_inputs!B1042-Data_inputs!C1042</f>
        <v>695.00349091799183</v>
      </c>
      <c r="C1042">
        <f>Data_inputs!B1042*K_factor</f>
        <v>3240.4592787652091</v>
      </c>
      <c r="D1042">
        <f>Data_inputs!C1042*K_factor</f>
        <v>1760.5907675924882</v>
      </c>
      <c r="E1042">
        <f t="shared" si="32"/>
        <v>1479.8685111727209</v>
      </c>
      <c r="F1042">
        <f>Data_inputs!G1042-Data_inputs!H1042</f>
        <v>418.01512826741737</v>
      </c>
      <c r="G1042">
        <f t="shared" si="33"/>
        <v>890.0781558660841</v>
      </c>
    </row>
    <row r="1043" spans="1:7" x14ac:dyDescent="0.3">
      <c r="A1043">
        <f>Data_inputs!A1043</f>
        <v>1040</v>
      </c>
      <c r="B1043">
        <f>Data_inputs!B1043-Data_inputs!C1043</f>
        <v>729.17492102869164</v>
      </c>
      <c r="C1043">
        <f>Data_inputs!B1043*K_factor</f>
        <v>2967.1236364639703</v>
      </c>
      <c r="D1043">
        <f>Data_inputs!C1043*K_factor</f>
        <v>1414.4940182416003</v>
      </c>
      <c r="E1043">
        <f t="shared" si="32"/>
        <v>1552.62961822237</v>
      </c>
      <c r="F1043">
        <f>Data_inputs!G1043-Data_inputs!H1043</f>
        <v>415.08512567872003</v>
      </c>
      <c r="G1043">
        <f t="shared" si="33"/>
        <v>883.83931156482663</v>
      </c>
    </row>
    <row r="1044" spans="1:7" x14ac:dyDescent="0.3">
      <c r="A1044">
        <f>Data_inputs!A1044</f>
        <v>1041</v>
      </c>
      <c r="B1044">
        <f>Data_inputs!B1044-Data_inputs!C1044</f>
        <v>1067.527020153886</v>
      </c>
      <c r="C1044">
        <f>Data_inputs!B1044*K_factor</f>
        <v>4229.3765145082607</v>
      </c>
      <c r="D1044">
        <f>Data_inputs!C1044*K_factor</f>
        <v>1956.2949507522103</v>
      </c>
      <c r="E1044">
        <f t="shared" si="32"/>
        <v>2273.0815637560504</v>
      </c>
      <c r="F1044">
        <f>Data_inputs!G1044-Data_inputs!H1044</f>
        <v>120.35547419097202</v>
      </c>
      <c r="G1044">
        <f t="shared" si="33"/>
        <v>256.27249176435726</v>
      </c>
    </row>
    <row r="1045" spans="1:7" x14ac:dyDescent="0.3">
      <c r="A1045">
        <f>Data_inputs!A1045</f>
        <v>1042</v>
      </c>
      <c r="B1045">
        <f>Data_inputs!B1045-Data_inputs!C1045</f>
        <v>391.67675875579079</v>
      </c>
      <c r="C1045">
        <f>Data_inputs!B1045*K_factor</f>
        <v>1768.8068330324527</v>
      </c>
      <c r="D1045">
        <f>Data_inputs!C1045*K_factor</f>
        <v>934.81087558008414</v>
      </c>
      <c r="E1045">
        <f t="shared" si="32"/>
        <v>833.99595745236854</v>
      </c>
      <c r="F1045">
        <f>Data_inputs!G1045-Data_inputs!H1045</f>
        <v>471.82223688162094</v>
      </c>
      <c r="G1045">
        <f t="shared" si="33"/>
        <v>1004.6494447242665</v>
      </c>
    </row>
    <row r="1046" spans="1:7" x14ac:dyDescent="0.3">
      <c r="A1046">
        <f>Data_inputs!A1046</f>
        <v>1043</v>
      </c>
      <c r="B1046">
        <f>Data_inputs!B1046-Data_inputs!C1046</f>
        <v>428.40901091048045</v>
      </c>
      <c r="C1046">
        <f>Data_inputs!B1046*K_factor</f>
        <v>2756.7330677508398</v>
      </c>
      <c r="D1046">
        <f>Data_inputs!C1046*K_factor</f>
        <v>1844.5232537948416</v>
      </c>
      <c r="E1046">
        <f t="shared" si="32"/>
        <v>912.20981395599824</v>
      </c>
      <c r="F1046">
        <f>Data_inputs!G1046-Data_inputs!H1046</f>
        <v>351.28396137609207</v>
      </c>
      <c r="G1046">
        <f t="shared" si="33"/>
        <v>747.98771475787316</v>
      </c>
    </row>
    <row r="1047" spans="1:7" x14ac:dyDescent="0.3">
      <c r="A1047">
        <f>Data_inputs!A1047</f>
        <v>1044</v>
      </c>
      <c r="B1047">
        <f>Data_inputs!B1047-Data_inputs!C1047</f>
        <v>522.47017936792656</v>
      </c>
      <c r="C1047">
        <f>Data_inputs!B1047*K_factor</f>
        <v>2570.6338385336599</v>
      </c>
      <c r="D1047">
        <f>Data_inputs!C1047*K_factor</f>
        <v>1458.1399063778692</v>
      </c>
      <c r="E1047">
        <f t="shared" si="32"/>
        <v>1112.4939321557906</v>
      </c>
      <c r="F1047">
        <f>Data_inputs!G1047-Data_inputs!H1047</f>
        <v>244.24322847663393</v>
      </c>
      <c r="G1047">
        <f t="shared" si="33"/>
        <v>520.0662552245866</v>
      </c>
    </row>
    <row r="1048" spans="1:7" x14ac:dyDescent="0.3">
      <c r="A1048">
        <f>Data_inputs!A1048</f>
        <v>1045</v>
      </c>
      <c r="B1048">
        <f>Data_inputs!B1048-Data_inputs!C1048</f>
        <v>-16.697510284201826</v>
      </c>
      <c r="C1048">
        <f>Data_inputs!B1048*K_factor</f>
        <v>2980.5406542788614</v>
      </c>
      <c r="D1048">
        <f>Data_inputs!C1048*K_factor</f>
        <v>3016.0946047373473</v>
      </c>
      <c r="E1048">
        <f t="shared" si="32"/>
        <v>-35.553950458485815</v>
      </c>
      <c r="F1048">
        <f>Data_inputs!G1048-Data_inputs!H1048</f>
        <v>-144.48923511845987</v>
      </c>
      <c r="G1048">
        <f t="shared" si="33"/>
        <v>-307.66042480277429</v>
      </c>
    </row>
    <row r="1049" spans="1:7" x14ac:dyDescent="0.3">
      <c r="A1049">
        <f>Data_inputs!A1049</f>
        <v>1046</v>
      </c>
      <c r="B1049">
        <f>Data_inputs!B1049-Data_inputs!C1049</f>
        <v>484.2872161379446</v>
      </c>
      <c r="C1049">
        <f>Data_inputs!B1049*K_factor</f>
        <v>2683.9978649887435</v>
      </c>
      <c r="D1049">
        <f>Data_inputs!C1049*K_factor</f>
        <v>1652.8067833735752</v>
      </c>
      <c r="E1049">
        <f t="shared" si="32"/>
        <v>1031.1910816151683</v>
      </c>
      <c r="F1049">
        <f>Data_inputs!G1049-Data_inputs!H1049</f>
        <v>267.99469691501008</v>
      </c>
      <c r="G1049">
        <f t="shared" si="33"/>
        <v>570.64017419820084</v>
      </c>
    </row>
    <row r="1050" spans="1:7" x14ac:dyDescent="0.3">
      <c r="A1050">
        <f>Data_inputs!A1050</f>
        <v>1047</v>
      </c>
      <c r="B1050">
        <f>Data_inputs!B1050-Data_inputs!C1050</f>
        <v>354.83791823310628</v>
      </c>
      <c r="C1050">
        <f>Data_inputs!B1050*K_factor</f>
        <v>1690.15365312325</v>
      </c>
      <c r="D1050">
        <f>Data_inputs!C1050*K_factor</f>
        <v>934.59851041502964</v>
      </c>
      <c r="E1050">
        <f t="shared" si="32"/>
        <v>755.55514270822039</v>
      </c>
      <c r="F1050">
        <f>Data_inputs!G1050-Data_inputs!H1050</f>
        <v>313.1084194808941</v>
      </c>
      <c r="G1050">
        <f t="shared" si="33"/>
        <v>666.70066643954374</v>
      </c>
    </row>
    <row r="1051" spans="1:7" x14ac:dyDescent="0.3">
      <c r="A1051">
        <f>Data_inputs!A1051</f>
        <v>1048</v>
      </c>
      <c r="B1051">
        <f>Data_inputs!B1051-Data_inputs!C1051</f>
        <v>335.62875300569192</v>
      </c>
      <c r="C1051">
        <f>Data_inputs!B1051*K_factor</f>
        <v>2454.7321930212929</v>
      </c>
      <c r="D1051">
        <f>Data_inputs!C1051*K_factor</f>
        <v>1740.0790588891973</v>
      </c>
      <c r="E1051">
        <f t="shared" si="32"/>
        <v>714.6531341320956</v>
      </c>
      <c r="F1051">
        <f>Data_inputs!G1051-Data_inputs!H1051</f>
        <v>194.06717161442202</v>
      </c>
      <c r="G1051">
        <f t="shared" si="33"/>
        <v>413.22655220795662</v>
      </c>
    </row>
    <row r="1052" spans="1:7" x14ac:dyDescent="0.3">
      <c r="A1052">
        <f>Data_inputs!A1052</f>
        <v>1049</v>
      </c>
      <c r="B1052">
        <f>Data_inputs!B1052-Data_inputs!C1052</f>
        <v>1379.8389988290896</v>
      </c>
      <c r="C1052">
        <f>Data_inputs!B1052*K_factor</f>
        <v>4624.1163544170013</v>
      </c>
      <c r="D1052">
        <f>Data_inputs!C1052*K_factor</f>
        <v>1686.029982853423</v>
      </c>
      <c r="E1052">
        <f t="shared" si="32"/>
        <v>2938.0863715635783</v>
      </c>
      <c r="F1052">
        <f>Data_inputs!G1052-Data_inputs!H1052</f>
        <v>-23.391313634039989</v>
      </c>
      <c r="G1052">
        <f t="shared" si="33"/>
        <v>-49.807042603855798</v>
      </c>
    </row>
    <row r="1053" spans="1:7" x14ac:dyDescent="0.3">
      <c r="A1053">
        <f>Data_inputs!A1053</f>
        <v>1050</v>
      </c>
      <c r="B1053">
        <f>Data_inputs!B1053-Data_inputs!C1053</f>
        <v>543.80453667790516</v>
      </c>
      <c r="C1053">
        <f>Data_inputs!B1053*K_factor</f>
        <v>2757.1153725194072</v>
      </c>
      <c r="D1053">
        <f>Data_inputs!C1053*K_factor</f>
        <v>1599.1942676922349</v>
      </c>
      <c r="E1053">
        <f t="shared" si="32"/>
        <v>1157.9211048271723</v>
      </c>
      <c r="F1053">
        <f>Data_inputs!G1053-Data_inputs!H1053</f>
        <v>298.82205718030491</v>
      </c>
      <c r="G1053">
        <f t="shared" si="33"/>
        <v>636.28076497988081</v>
      </c>
    </row>
    <row r="1054" spans="1:7" x14ac:dyDescent="0.3">
      <c r="A1054">
        <f>Data_inputs!A1054</f>
        <v>1051</v>
      </c>
      <c r="B1054">
        <f>Data_inputs!B1054-Data_inputs!C1054</f>
        <v>265.49070358491088</v>
      </c>
      <c r="C1054">
        <f>Data_inputs!B1054*K_factor</f>
        <v>2247.614706475083</v>
      </c>
      <c r="D1054">
        <f>Data_inputs!C1054*K_factor</f>
        <v>1682.3062765484192</v>
      </c>
      <c r="E1054">
        <f t="shared" si="32"/>
        <v>565.30842992666385</v>
      </c>
      <c r="F1054">
        <f>Data_inputs!G1054-Data_inputs!H1054</f>
        <v>439.15774452270807</v>
      </c>
      <c r="G1054">
        <f t="shared" si="33"/>
        <v>935.09705497792345</v>
      </c>
    </row>
    <row r="1055" spans="1:7" x14ac:dyDescent="0.3">
      <c r="A1055">
        <f>Data_inputs!A1055</f>
        <v>1052</v>
      </c>
      <c r="B1055">
        <f>Data_inputs!B1055-Data_inputs!C1055</f>
        <v>459.44018911864998</v>
      </c>
      <c r="C1055">
        <f>Data_inputs!B1055*K_factor</f>
        <v>2200.8180433221432</v>
      </c>
      <c r="D1055">
        <f>Data_inputs!C1055*K_factor</f>
        <v>1222.5336497489934</v>
      </c>
      <c r="E1055">
        <f t="shared" si="32"/>
        <v>978.28439357314983</v>
      </c>
      <c r="F1055">
        <f>Data_inputs!G1055-Data_inputs!H1055</f>
        <v>396.79181021396198</v>
      </c>
      <c r="G1055">
        <f t="shared" si="33"/>
        <v>844.88741869665284</v>
      </c>
    </row>
    <row r="1056" spans="1:7" x14ac:dyDescent="0.3">
      <c r="A1056">
        <f>Data_inputs!A1056</f>
        <v>1053</v>
      </c>
      <c r="B1056">
        <f>Data_inputs!B1056-Data_inputs!C1056</f>
        <v>546.22171448086431</v>
      </c>
      <c r="C1056">
        <f>Data_inputs!B1056*K_factor</f>
        <v>2454.2614004048551</v>
      </c>
      <c r="D1056">
        <f>Data_inputs!C1056*K_factor</f>
        <v>1291.1934073055386</v>
      </c>
      <c r="E1056">
        <f t="shared" si="32"/>
        <v>1163.0679930993165</v>
      </c>
      <c r="F1056">
        <f>Data_inputs!G1056-Data_inputs!H1056</f>
        <v>445.04867365991731</v>
      </c>
      <c r="G1056">
        <f t="shared" si="33"/>
        <v>947.64058986030363</v>
      </c>
    </row>
    <row r="1057" spans="1:7" x14ac:dyDescent="0.3">
      <c r="A1057">
        <f>Data_inputs!A1057</f>
        <v>1054</v>
      </c>
      <c r="B1057">
        <f>Data_inputs!B1057-Data_inputs!C1057</f>
        <v>461.44560669903456</v>
      </c>
      <c r="C1057">
        <f>Data_inputs!B1057*K_factor</f>
        <v>2194.694998048903</v>
      </c>
      <c r="D1057">
        <f>Data_inputs!C1057*K_factor</f>
        <v>1212.1404758105814</v>
      </c>
      <c r="E1057">
        <f t="shared" si="32"/>
        <v>982.55452223832162</v>
      </c>
      <c r="F1057">
        <f>Data_inputs!G1057-Data_inputs!H1057</f>
        <v>233.06975255241605</v>
      </c>
      <c r="G1057">
        <f t="shared" si="33"/>
        <v>496.27461187793801</v>
      </c>
    </row>
    <row r="1058" spans="1:7" x14ac:dyDescent="0.3">
      <c r="A1058">
        <f>Data_inputs!A1058</f>
        <v>1055</v>
      </c>
      <c r="B1058">
        <f>Data_inputs!B1058-Data_inputs!C1058</f>
        <v>626.66111313990859</v>
      </c>
      <c r="C1058">
        <f>Data_inputs!B1058*K_factor</f>
        <v>2668.7657945036658</v>
      </c>
      <c r="D1058">
        <f>Data_inputs!C1058*K_factor</f>
        <v>1334.4184701653712</v>
      </c>
      <c r="E1058">
        <f t="shared" si="32"/>
        <v>1334.3473243382946</v>
      </c>
      <c r="F1058">
        <f>Data_inputs!G1058-Data_inputs!H1058</f>
        <v>452.29839530020399</v>
      </c>
      <c r="G1058">
        <f t="shared" si="33"/>
        <v>963.07739688418906</v>
      </c>
    </row>
    <row r="1059" spans="1:7" x14ac:dyDescent="0.3">
      <c r="A1059">
        <f>Data_inputs!A1059</f>
        <v>1056</v>
      </c>
      <c r="B1059">
        <f>Data_inputs!B1059-Data_inputs!C1059</f>
        <v>1423.4250032439431</v>
      </c>
      <c r="C1059">
        <f>Data_inputs!B1059*K_factor</f>
        <v>5330.2526226886794</v>
      </c>
      <c r="D1059">
        <f>Data_inputs!C1059*K_factor</f>
        <v>2299.3587238187565</v>
      </c>
      <c r="E1059">
        <f t="shared" si="32"/>
        <v>3030.8938988699229</v>
      </c>
      <c r="F1059">
        <f>Data_inputs!G1059-Data_inputs!H1059</f>
        <v>181.10692753908393</v>
      </c>
      <c r="G1059">
        <f t="shared" si="33"/>
        <v>385.63034966389085</v>
      </c>
    </row>
    <row r="1060" spans="1:7" x14ac:dyDescent="0.3">
      <c r="A1060">
        <f>Data_inputs!A1060</f>
        <v>1057</v>
      </c>
      <c r="B1060">
        <f>Data_inputs!B1060-Data_inputs!C1060</f>
        <v>491.04747070106828</v>
      </c>
      <c r="C1060">
        <f>Data_inputs!B1060*K_factor</f>
        <v>2445.6116659829895</v>
      </c>
      <c r="D1060">
        <f>Data_inputs!C1060*K_factor</f>
        <v>1400.0259978855802</v>
      </c>
      <c r="E1060">
        <f t="shared" si="32"/>
        <v>1045.5856680974093</v>
      </c>
      <c r="F1060">
        <f>Data_inputs!G1060-Data_inputs!H1060</f>
        <v>363.95630056270784</v>
      </c>
      <c r="G1060">
        <f t="shared" si="33"/>
        <v>774.97088242571101</v>
      </c>
    </row>
    <row r="1061" spans="1:7" x14ac:dyDescent="0.3">
      <c r="A1061">
        <f>Data_inputs!A1061</f>
        <v>1058</v>
      </c>
      <c r="B1061">
        <f>Data_inputs!B1061-Data_inputs!C1061</f>
        <v>190.080598102198</v>
      </c>
      <c r="C1061">
        <f>Data_inputs!B1061*K_factor</f>
        <v>2226.5240084479578</v>
      </c>
      <c r="D1061">
        <f>Data_inputs!C1061*K_factor</f>
        <v>1821.7860533266478</v>
      </c>
      <c r="E1061">
        <f t="shared" si="32"/>
        <v>404.73795512131005</v>
      </c>
      <c r="F1061">
        <f>Data_inputs!G1061-Data_inputs!H1061</f>
        <v>277.65400188621879</v>
      </c>
      <c r="G1061">
        <f t="shared" si="33"/>
        <v>591.20769861138774</v>
      </c>
    </row>
    <row r="1062" spans="1:7" x14ac:dyDescent="0.3">
      <c r="A1062">
        <f>Data_inputs!A1062</f>
        <v>1059</v>
      </c>
      <c r="B1062">
        <f>Data_inputs!B1062-Data_inputs!C1062</f>
        <v>493.00523293241815</v>
      </c>
      <c r="C1062">
        <f>Data_inputs!B1062*K_factor</f>
        <v>2502.4260574270638</v>
      </c>
      <c r="D1062">
        <f>Data_inputs!C1062*K_factor</f>
        <v>1452.6717330331066</v>
      </c>
      <c r="E1062">
        <f t="shared" si="32"/>
        <v>1049.7543243939572</v>
      </c>
      <c r="F1062">
        <f>Data_inputs!G1062-Data_inputs!H1062</f>
        <v>426.45707156817161</v>
      </c>
      <c r="G1062">
        <f t="shared" si="33"/>
        <v>908.05355631679333</v>
      </c>
    </row>
    <row r="1063" spans="1:7" x14ac:dyDescent="0.3">
      <c r="A1063">
        <f>Data_inputs!A1063</f>
        <v>1060</v>
      </c>
      <c r="B1063">
        <f>Data_inputs!B1063-Data_inputs!C1063</f>
        <v>386.96037848451499</v>
      </c>
      <c r="C1063">
        <f>Data_inputs!B1063*K_factor</f>
        <v>2191.1634777705617</v>
      </c>
      <c r="D1063">
        <f>Data_inputs!C1063*K_factor</f>
        <v>1367.2100923935627</v>
      </c>
      <c r="E1063">
        <f t="shared" si="32"/>
        <v>823.95338537699899</v>
      </c>
      <c r="F1063">
        <f>Data_inputs!G1063-Data_inputs!H1063</f>
        <v>433.90159875473</v>
      </c>
      <c r="G1063">
        <f t="shared" si="33"/>
        <v>923.90516211147121</v>
      </c>
    </row>
    <row r="1064" spans="1:7" x14ac:dyDescent="0.3">
      <c r="A1064">
        <f>Data_inputs!A1064</f>
        <v>1061</v>
      </c>
      <c r="B1064">
        <f>Data_inputs!B1064-Data_inputs!C1064</f>
        <v>620.13378114946954</v>
      </c>
      <c r="C1064">
        <f>Data_inputs!B1064*K_factor</f>
        <v>2830.7583835847263</v>
      </c>
      <c r="D1064">
        <f>Data_inputs!C1064*K_factor</f>
        <v>1510.3096845063742</v>
      </c>
      <c r="E1064">
        <f t="shared" si="32"/>
        <v>1320.4486990783521</v>
      </c>
      <c r="F1064">
        <f>Data_inputs!G1064-Data_inputs!H1064</f>
        <v>297.3349468351048</v>
      </c>
      <c r="G1064">
        <f t="shared" si="33"/>
        <v>633.11426610432261</v>
      </c>
    </row>
    <row r="1065" spans="1:7" x14ac:dyDescent="0.3">
      <c r="A1065">
        <f>Data_inputs!A1065</f>
        <v>1062</v>
      </c>
      <c r="B1065">
        <f>Data_inputs!B1065-Data_inputs!C1065</f>
        <v>365.13318812499142</v>
      </c>
      <c r="C1065">
        <f>Data_inputs!B1065*K_factor</f>
        <v>1950.6603409824011</v>
      </c>
      <c r="D1065">
        <f>Data_inputs!C1065*K_factor</f>
        <v>1173.1835159716911</v>
      </c>
      <c r="E1065">
        <f t="shared" si="32"/>
        <v>777.47682501070994</v>
      </c>
      <c r="F1065">
        <f>Data_inputs!G1065-Data_inputs!H1065</f>
        <v>340.8406522278533</v>
      </c>
      <c r="G1065">
        <f t="shared" si="33"/>
        <v>725.75081298273642</v>
      </c>
    </row>
    <row r="1066" spans="1:7" x14ac:dyDescent="0.3">
      <c r="A1066">
        <f>Data_inputs!A1066</f>
        <v>1063</v>
      </c>
      <c r="B1066">
        <f>Data_inputs!B1066-Data_inputs!C1066</f>
        <v>198.72247283979277</v>
      </c>
      <c r="C1066">
        <f>Data_inputs!B1066*K_factor</f>
        <v>1372.1688111837045</v>
      </c>
      <c r="D1066">
        <f>Data_inputs!C1066*K_factor</f>
        <v>949.02974229996789</v>
      </c>
      <c r="E1066">
        <f t="shared" si="32"/>
        <v>423.13906888373663</v>
      </c>
      <c r="F1066">
        <f>Data_inputs!G1066-Data_inputs!H1066</f>
        <v>134.51821071340305</v>
      </c>
      <c r="G1066">
        <f t="shared" si="33"/>
        <v>286.42915728541522</v>
      </c>
    </row>
    <row r="1067" spans="1:7" x14ac:dyDescent="0.3">
      <c r="A1067">
        <f>Data_inputs!A1067</f>
        <v>1064</v>
      </c>
      <c r="B1067">
        <f>Data_inputs!B1067-Data_inputs!C1067</f>
        <v>731.20763754430379</v>
      </c>
      <c r="C1067">
        <f>Data_inputs!B1067*K_factor</f>
        <v>3438.9952942569817</v>
      </c>
      <c r="D1067">
        <f>Data_inputs!C1067*K_factor</f>
        <v>1882.0374198417944</v>
      </c>
      <c r="E1067">
        <f t="shared" si="32"/>
        <v>1556.9578744151872</v>
      </c>
      <c r="F1067">
        <f>Data_inputs!G1067-Data_inputs!H1067</f>
        <v>534.10798105256663</v>
      </c>
      <c r="G1067">
        <f t="shared" si="33"/>
        <v>1137.2742627259629</v>
      </c>
    </row>
    <row r="1068" spans="1:7" x14ac:dyDescent="0.3">
      <c r="A1068">
        <f>Data_inputs!A1068</f>
        <v>1065</v>
      </c>
      <c r="B1068">
        <f>Data_inputs!B1068-Data_inputs!C1068</f>
        <v>1413.9448531867622</v>
      </c>
      <c r="C1068">
        <f>Data_inputs!B1068*K_factor</f>
        <v>5018.0737298409013</v>
      </c>
      <c r="D1068">
        <f>Data_inputs!C1068*K_factor</f>
        <v>2007.3658814500675</v>
      </c>
      <c r="E1068">
        <f t="shared" si="32"/>
        <v>3010.7078483908335</v>
      </c>
      <c r="F1068">
        <f>Data_inputs!G1068-Data_inputs!H1068</f>
        <v>66.704570438292194</v>
      </c>
      <c r="G1068">
        <f t="shared" si="33"/>
        <v>142.03380937345435</v>
      </c>
    </row>
    <row r="1069" spans="1:7" x14ac:dyDescent="0.3">
      <c r="A1069">
        <f>Data_inputs!A1069</f>
        <v>1066</v>
      </c>
      <c r="B1069">
        <f>Data_inputs!B1069-Data_inputs!C1069</f>
        <v>641.47438704889407</v>
      </c>
      <c r="C1069">
        <f>Data_inputs!B1069*K_factor</f>
        <v>3105.6384747915413</v>
      </c>
      <c r="D1069">
        <f>Data_inputs!C1069*K_factor</f>
        <v>1739.7492979420761</v>
      </c>
      <c r="E1069">
        <f t="shared" si="32"/>
        <v>1365.8891768494652</v>
      </c>
      <c r="F1069">
        <f>Data_inputs!G1069-Data_inputs!H1069</f>
        <v>518.79919544955214</v>
      </c>
      <c r="G1069">
        <f t="shared" si="33"/>
        <v>1104.6773188915201</v>
      </c>
    </row>
    <row r="1070" spans="1:7" x14ac:dyDescent="0.3">
      <c r="A1070">
        <f>Data_inputs!A1070</f>
        <v>1067</v>
      </c>
      <c r="B1070">
        <f>Data_inputs!B1070-Data_inputs!C1070</f>
        <v>961.29759276536572</v>
      </c>
      <c r="C1070">
        <f>Data_inputs!B1070*K_factor</f>
        <v>4066.8252131672702</v>
      </c>
      <c r="D1070">
        <f>Data_inputs!C1070*K_factor</f>
        <v>2019.9375989474102</v>
      </c>
      <c r="E1070">
        <f t="shared" si="32"/>
        <v>2046.8876142198601</v>
      </c>
      <c r="F1070">
        <f>Data_inputs!G1070-Data_inputs!H1070</f>
        <v>60.388629087002073</v>
      </c>
      <c r="G1070">
        <f t="shared" si="33"/>
        <v>128.58529746476981</v>
      </c>
    </row>
    <row r="1071" spans="1:7" x14ac:dyDescent="0.3">
      <c r="A1071">
        <f>Data_inputs!A1071</f>
        <v>1068</v>
      </c>
      <c r="B1071">
        <f>Data_inputs!B1071-Data_inputs!C1071</f>
        <v>289.9028365963519</v>
      </c>
      <c r="C1071">
        <f>Data_inputs!B1071*K_factor</f>
        <v>1795.635332704152</v>
      </c>
      <c r="D1071">
        <f>Data_inputs!C1071*K_factor</f>
        <v>1178.3462330308173</v>
      </c>
      <c r="E1071">
        <f t="shared" si="32"/>
        <v>617.2890996733347</v>
      </c>
      <c r="F1071">
        <f>Data_inputs!G1071-Data_inputs!H1071</f>
        <v>111.58203812903002</v>
      </c>
      <c r="G1071">
        <f t="shared" si="33"/>
        <v>237.59124493248029</v>
      </c>
    </row>
    <row r="1072" spans="1:7" x14ac:dyDescent="0.3">
      <c r="A1072">
        <f>Data_inputs!A1072</f>
        <v>1069</v>
      </c>
      <c r="B1072">
        <f>Data_inputs!B1072-Data_inputs!C1072</f>
        <v>385.82224930260895</v>
      </c>
      <c r="C1072">
        <f>Data_inputs!B1072*K_factor</f>
        <v>2487.4307305828543</v>
      </c>
      <c r="D1072">
        <f>Data_inputs!C1072*K_factor</f>
        <v>1665.9007597065863</v>
      </c>
      <c r="E1072">
        <f t="shared" si="32"/>
        <v>821.52997087626795</v>
      </c>
      <c r="F1072">
        <f>Data_inputs!G1072-Data_inputs!H1072</f>
        <v>357.36229097302407</v>
      </c>
      <c r="G1072">
        <f t="shared" si="33"/>
        <v>760.93028078606346</v>
      </c>
    </row>
    <row r="1073" spans="1:7" x14ac:dyDescent="0.3">
      <c r="A1073">
        <f>Data_inputs!A1073</f>
        <v>1070</v>
      </c>
      <c r="B1073">
        <f>Data_inputs!B1073-Data_inputs!C1073</f>
        <v>339.30351264250089</v>
      </c>
      <c r="C1073">
        <f>Data_inputs!B1073*K_factor</f>
        <v>2168.0165788338127</v>
      </c>
      <c r="D1073">
        <f>Data_inputs!C1073*K_factor</f>
        <v>1445.5387918133424</v>
      </c>
      <c r="E1073">
        <f t="shared" si="32"/>
        <v>722.47778702047026</v>
      </c>
      <c r="F1073">
        <f>Data_inputs!G1073-Data_inputs!H1073</f>
        <v>287.70187865159869</v>
      </c>
      <c r="G1073">
        <f t="shared" si="33"/>
        <v>612.60260759175753</v>
      </c>
    </row>
    <row r="1074" spans="1:7" x14ac:dyDescent="0.3">
      <c r="A1074">
        <f>Data_inputs!A1074</f>
        <v>1071</v>
      </c>
      <c r="B1074">
        <f>Data_inputs!B1074-Data_inputs!C1074</f>
        <v>282.57663924273129</v>
      </c>
      <c r="C1074">
        <f>Data_inputs!B1074*K_factor</f>
        <v>1766.1562011671831</v>
      </c>
      <c r="D1074">
        <f>Data_inputs!C1074*K_factor</f>
        <v>1164.4667479876232</v>
      </c>
      <c r="E1074">
        <f t="shared" si="32"/>
        <v>601.68945317955991</v>
      </c>
      <c r="F1074">
        <f>Data_inputs!G1074-Data_inputs!H1074</f>
        <v>223.33116090805197</v>
      </c>
      <c r="G1074">
        <f t="shared" si="33"/>
        <v>475.53826262790994</v>
      </c>
    </row>
    <row r="1075" spans="1:7" x14ac:dyDescent="0.3">
      <c r="A1075">
        <f>Data_inputs!A1075</f>
        <v>1072</v>
      </c>
      <c r="B1075">
        <f>Data_inputs!B1075-Data_inputs!C1075</f>
        <v>311.72625019122393</v>
      </c>
      <c r="C1075">
        <f>Data_inputs!B1075*K_factor</f>
        <v>2063.4526623848824</v>
      </c>
      <c r="D1075">
        <f>Data_inputs!C1075*K_factor</f>
        <v>1399.6950441970691</v>
      </c>
      <c r="E1075">
        <f t="shared" si="32"/>
        <v>663.75761818781325</v>
      </c>
      <c r="F1075">
        <f>Data_inputs!G1075-Data_inputs!H1075</f>
        <v>329.9849834089971</v>
      </c>
      <c r="G1075">
        <f t="shared" si="33"/>
        <v>702.63587519799876</v>
      </c>
    </row>
    <row r="1076" spans="1:7" x14ac:dyDescent="0.3">
      <c r="A1076">
        <f>Data_inputs!A1076</f>
        <v>1073</v>
      </c>
      <c r="B1076">
        <f>Data_inputs!B1076-Data_inputs!C1076</f>
        <v>373.924028873054</v>
      </c>
      <c r="C1076">
        <f>Data_inputs!B1076*K_factor</f>
        <v>2950.1771481635737</v>
      </c>
      <c r="D1076">
        <f>Data_inputs!C1076*K_factor</f>
        <v>2153.9820165834844</v>
      </c>
      <c r="E1076">
        <f t="shared" si="32"/>
        <v>796.19513158008931</v>
      </c>
      <c r="F1076">
        <f>Data_inputs!G1076-Data_inputs!H1076</f>
        <v>424.82321657356306</v>
      </c>
      <c r="G1076">
        <f t="shared" si="33"/>
        <v>904.57459457064465</v>
      </c>
    </row>
    <row r="1077" spans="1:7" x14ac:dyDescent="0.3">
      <c r="A1077">
        <f>Data_inputs!A1077</f>
        <v>1074</v>
      </c>
      <c r="B1077">
        <f>Data_inputs!B1077-Data_inputs!C1077</f>
        <v>338.38643174355968</v>
      </c>
      <c r="C1077">
        <f>Data_inputs!B1077*K_factor</f>
        <v>1937.6570397641817</v>
      </c>
      <c r="D1077">
        <f>Data_inputs!C1077*K_factor</f>
        <v>1217.1319899058635</v>
      </c>
      <c r="E1077">
        <f t="shared" si="32"/>
        <v>720.5250498583182</v>
      </c>
      <c r="F1077">
        <f>Data_inputs!G1077-Data_inputs!H1077</f>
        <v>225.27118042403094</v>
      </c>
      <c r="G1077">
        <f t="shared" si="33"/>
        <v>479.66913942245054</v>
      </c>
    </row>
    <row r="1078" spans="1:7" x14ac:dyDescent="0.3">
      <c r="A1078">
        <f>Data_inputs!A1078</f>
        <v>1075</v>
      </c>
      <c r="B1078">
        <f>Data_inputs!B1078-Data_inputs!C1078</f>
        <v>94.781591599347394</v>
      </c>
      <c r="C1078">
        <f>Data_inputs!B1078*K_factor</f>
        <v>2243.9989649679164</v>
      </c>
      <c r="D1078">
        <f>Data_inputs!C1078*K_factor</f>
        <v>2042.1808522826987</v>
      </c>
      <c r="E1078">
        <f t="shared" si="32"/>
        <v>201.81811268521778</v>
      </c>
      <c r="F1078">
        <f>Data_inputs!G1078-Data_inputs!H1078</f>
        <v>142.352049672254</v>
      </c>
      <c r="G1078">
        <f t="shared" si="33"/>
        <v>303.10972328011115</v>
      </c>
    </row>
    <row r="1079" spans="1:7" x14ac:dyDescent="0.3">
      <c r="A1079">
        <f>Data_inputs!A1079</f>
        <v>1076</v>
      </c>
      <c r="B1079">
        <f>Data_inputs!B1079-Data_inputs!C1079</f>
        <v>220.9098864985134</v>
      </c>
      <c r="C1079">
        <f>Data_inputs!B1079*K_factor</f>
        <v>1600.0013117965689</v>
      </c>
      <c r="D1079">
        <f>Data_inputs!C1079*K_factor</f>
        <v>1129.6186603309159</v>
      </c>
      <c r="E1079">
        <f t="shared" si="32"/>
        <v>470.382651465653</v>
      </c>
      <c r="F1079">
        <f>Data_inputs!G1079-Data_inputs!H1079</f>
        <v>199.52051347093811</v>
      </c>
      <c r="G1079">
        <f t="shared" si="33"/>
        <v>424.8383340185182</v>
      </c>
    </row>
    <row r="1080" spans="1:7" x14ac:dyDescent="0.3">
      <c r="A1080">
        <f>Data_inputs!A1080</f>
        <v>1077</v>
      </c>
      <c r="B1080">
        <f>Data_inputs!B1080-Data_inputs!C1080</f>
        <v>206.85148958828063</v>
      </c>
      <c r="C1080">
        <f>Data_inputs!B1080*K_factor</f>
        <v>1284.9810524535785</v>
      </c>
      <c r="D1080">
        <f>Data_inputs!C1080*K_factor</f>
        <v>844.53289653634613</v>
      </c>
      <c r="E1080">
        <f t="shared" si="32"/>
        <v>440.44815591723238</v>
      </c>
      <c r="F1080">
        <f>Data_inputs!G1080-Data_inputs!H1080</f>
        <v>165.75639688558294</v>
      </c>
      <c r="G1080">
        <f t="shared" si="33"/>
        <v>352.94451823892581</v>
      </c>
    </row>
    <row r="1081" spans="1:7" x14ac:dyDescent="0.3">
      <c r="A1081">
        <f>Data_inputs!A1081</f>
        <v>1078</v>
      </c>
      <c r="B1081">
        <f>Data_inputs!B1081-Data_inputs!C1081</f>
        <v>540.64388710128992</v>
      </c>
      <c r="C1081">
        <f>Data_inputs!B1081*K_factor</f>
        <v>2693.0554105185133</v>
      </c>
      <c r="D1081">
        <f>Data_inputs!C1081*K_factor</f>
        <v>1541.8642658201832</v>
      </c>
      <c r="E1081">
        <f t="shared" si="32"/>
        <v>1151.1911446983302</v>
      </c>
      <c r="F1081">
        <f>Data_inputs!G1081-Data_inputs!H1081</f>
        <v>408.34297761148991</v>
      </c>
      <c r="G1081">
        <f t="shared" si="33"/>
        <v>869.48327918119196</v>
      </c>
    </row>
    <row r="1082" spans="1:7" x14ac:dyDescent="0.3">
      <c r="A1082">
        <f>Data_inputs!A1082</f>
        <v>1079</v>
      </c>
      <c r="B1082">
        <f>Data_inputs!B1082-Data_inputs!C1082</f>
        <v>411.41365134403816</v>
      </c>
      <c r="C1082">
        <f>Data_inputs!B1082*K_factor</f>
        <v>2275.0552459139735</v>
      </c>
      <c r="D1082">
        <f>Data_inputs!C1082*K_factor</f>
        <v>1399.0335918551516</v>
      </c>
      <c r="E1082">
        <f t="shared" si="32"/>
        <v>876.02165405882192</v>
      </c>
      <c r="F1082">
        <f>Data_inputs!G1082-Data_inputs!H1082</f>
        <v>282.45720888493906</v>
      </c>
      <c r="G1082">
        <f t="shared" si="33"/>
        <v>601.43515053491956</v>
      </c>
    </row>
    <row r="1083" spans="1:7" x14ac:dyDescent="0.3">
      <c r="A1083">
        <f>Data_inputs!A1083</f>
        <v>1080</v>
      </c>
      <c r="B1083">
        <f>Data_inputs!B1083-Data_inputs!C1083</f>
        <v>385.34317136450386</v>
      </c>
      <c r="C1083">
        <f>Data_inputs!B1083*K_factor</f>
        <v>3106.0886923433713</v>
      </c>
      <c r="D1083">
        <f>Data_inputs!C1083*K_factor</f>
        <v>2285.5788204511573</v>
      </c>
      <c r="E1083">
        <f t="shared" si="32"/>
        <v>820.50987189221405</v>
      </c>
      <c r="F1083">
        <f>Data_inputs!G1083-Data_inputs!H1083</f>
        <v>109.55548012862391</v>
      </c>
      <c r="G1083">
        <f t="shared" si="33"/>
        <v>233.27610204462962</v>
      </c>
    </row>
    <row r="1084" spans="1:7" x14ac:dyDescent="0.3">
      <c r="A1084">
        <f>Data_inputs!A1084</f>
        <v>1081</v>
      </c>
      <c r="B1084">
        <f>Data_inputs!B1084-Data_inputs!C1084</f>
        <v>452.28659533265204</v>
      </c>
      <c r="C1084">
        <f>Data_inputs!B1084*K_factor</f>
        <v>3244.0629142205239</v>
      </c>
      <c r="D1084">
        <f>Data_inputs!C1084*K_factor</f>
        <v>2281.0106429661214</v>
      </c>
      <c r="E1084">
        <f t="shared" si="32"/>
        <v>963.05227125440251</v>
      </c>
      <c r="F1084">
        <f>Data_inputs!G1084-Data_inputs!H1084</f>
        <v>554.2024335652161</v>
      </c>
      <c r="G1084">
        <f t="shared" si="33"/>
        <v>1180.0613104333743</v>
      </c>
    </row>
    <row r="1085" spans="1:7" x14ac:dyDescent="0.3">
      <c r="A1085">
        <f>Data_inputs!A1085</f>
        <v>1082</v>
      </c>
      <c r="B1085">
        <f>Data_inputs!B1085-Data_inputs!C1085</f>
        <v>472.79832205796129</v>
      </c>
      <c r="C1085">
        <f>Data_inputs!B1085*K_factor</f>
        <v>2903.287195756071</v>
      </c>
      <c r="D1085">
        <f>Data_inputs!C1085*K_factor</f>
        <v>1896.5593762674121</v>
      </c>
      <c r="E1085">
        <f t="shared" si="32"/>
        <v>1006.727819488659</v>
      </c>
      <c r="F1085">
        <f>Data_inputs!G1085-Data_inputs!H1085</f>
        <v>260.32043022759899</v>
      </c>
      <c r="G1085">
        <f t="shared" si="33"/>
        <v>554.29938488498351</v>
      </c>
    </row>
    <row r="1086" spans="1:7" x14ac:dyDescent="0.3">
      <c r="A1086">
        <f>Data_inputs!A1086</f>
        <v>1083</v>
      </c>
      <c r="B1086">
        <f>Data_inputs!B1086-Data_inputs!C1086</f>
        <v>249.47012054788229</v>
      </c>
      <c r="C1086">
        <f>Data_inputs!B1086*K_factor</f>
        <v>2031.7958507726994</v>
      </c>
      <c r="D1086">
        <f>Data_inputs!C1086*K_factor</f>
        <v>1500.59999247616</v>
      </c>
      <c r="E1086">
        <f t="shared" si="32"/>
        <v>531.19585829653943</v>
      </c>
      <c r="F1086">
        <f>Data_inputs!G1086-Data_inputs!H1086</f>
        <v>305.33193923211002</v>
      </c>
      <c r="G1086">
        <f t="shared" si="33"/>
        <v>650.14223414630203</v>
      </c>
    </row>
    <row r="1087" spans="1:7" x14ac:dyDescent="0.3">
      <c r="A1087">
        <f>Data_inputs!A1087</f>
        <v>1084</v>
      </c>
      <c r="B1087">
        <f>Data_inputs!B1087-Data_inputs!C1087</f>
        <v>234.23048928261721</v>
      </c>
      <c r="C1087">
        <f>Data_inputs!B1087*K_factor</f>
        <v>1876.1759287906309</v>
      </c>
      <c r="D1087">
        <f>Data_inputs!C1087*K_factor</f>
        <v>1377.4297642381628</v>
      </c>
      <c r="E1087">
        <f t="shared" si="32"/>
        <v>498.74616455246814</v>
      </c>
      <c r="F1087">
        <f>Data_inputs!G1087-Data_inputs!H1087</f>
        <v>209.99349349717795</v>
      </c>
      <c r="G1087">
        <f t="shared" si="33"/>
        <v>447.13841389078175</v>
      </c>
    </row>
    <row r="1088" spans="1:7" x14ac:dyDescent="0.3">
      <c r="A1088">
        <f>Data_inputs!A1088</f>
        <v>1085</v>
      </c>
      <c r="B1088">
        <f>Data_inputs!B1088-Data_inputs!C1088</f>
        <v>401.0835249902251</v>
      </c>
      <c r="C1088">
        <f>Data_inputs!B1088*K_factor</f>
        <v>1984.5530121810482</v>
      </c>
      <c r="D1088">
        <f>Data_inputs!C1088*K_factor</f>
        <v>1130.5272601676265</v>
      </c>
      <c r="E1088">
        <f t="shared" si="32"/>
        <v>854.02575201342165</v>
      </c>
      <c r="F1088">
        <f>Data_inputs!G1088-Data_inputs!H1088</f>
        <v>300.36381906249812</v>
      </c>
      <c r="G1088">
        <f t="shared" si="33"/>
        <v>639.56363318270166</v>
      </c>
    </row>
    <row r="1089" spans="1:7" x14ac:dyDescent="0.3">
      <c r="A1089">
        <f>Data_inputs!A1089</f>
        <v>1086</v>
      </c>
      <c r="B1089">
        <f>Data_inputs!B1089-Data_inputs!C1089</f>
        <v>343.79925341420346</v>
      </c>
      <c r="C1089">
        <f>Data_inputs!B1089*K_factor</f>
        <v>1918.9626924729255</v>
      </c>
      <c r="D1089">
        <f>Data_inputs!C1089*K_factor</f>
        <v>1186.9121402946137</v>
      </c>
      <c r="E1089">
        <f t="shared" si="32"/>
        <v>732.05055217831182</v>
      </c>
      <c r="F1089">
        <f>Data_inputs!G1089-Data_inputs!H1089</f>
        <v>325.77768343626622</v>
      </c>
      <c r="G1089">
        <f t="shared" si="33"/>
        <v>693.67728602821148</v>
      </c>
    </row>
    <row r="1090" spans="1:7" x14ac:dyDescent="0.3">
      <c r="A1090">
        <f>Data_inputs!A1090</f>
        <v>1087</v>
      </c>
      <c r="B1090">
        <f>Data_inputs!B1090-Data_inputs!C1090</f>
        <v>186.43018329948018</v>
      </c>
      <c r="C1090">
        <f>Data_inputs!B1090*K_factor</f>
        <v>1762.4777734293014</v>
      </c>
      <c r="D1090">
        <f>Data_inputs!C1090*K_factor</f>
        <v>1365.5126338259759</v>
      </c>
      <c r="E1090">
        <f t="shared" si="32"/>
        <v>396.9651396033255</v>
      </c>
      <c r="F1090">
        <f>Data_inputs!G1090-Data_inputs!H1090</f>
        <v>77.237237832098117</v>
      </c>
      <c r="G1090">
        <f t="shared" si="33"/>
        <v>164.46098134946999</v>
      </c>
    </row>
    <row r="1091" spans="1:7" x14ac:dyDescent="0.3">
      <c r="A1091">
        <f>Data_inputs!A1091</f>
        <v>1088</v>
      </c>
      <c r="B1091">
        <f>Data_inputs!B1091-Data_inputs!C1091</f>
        <v>280.20493713373367</v>
      </c>
      <c r="C1091">
        <f>Data_inputs!B1091*K_factor</f>
        <v>1895.6013699041475</v>
      </c>
      <c r="D1091">
        <f>Data_inputs!C1091*K_factor</f>
        <v>1298.9619737600588</v>
      </c>
      <c r="E1091">
        <f t="shared" si="32"/>
        <v>596.63939614408878</v>
      </c>
      <c r="F1091">
        <f>Data_inputs!G1091-Data_inputs!H1091</f>
        <v>272.88681576509794</v>
      </c>
      <c r="G1091">
        <f t="shared" si="33"/>
        <v>581.056945816998</v>
      </c>
    </row>
    <row r="1092" spans="1:7" x14ac:dyDescent="0.3">
      <c r="A1092">
        <f>Data_inputs!A1092</f>
        <v>1089</v>
      </c>
      <c r="B1092">
        <f>Data_inputs!B1092-Data_inputs!C1092</f>
        <v>784.58712903782953</v>
      </c>
      <c r="C1092">
        <f>Data_inputs!B1092*K_factor</f>
        <v>3490.2303285308449</v>
      </c>
      <c r="D1092">
        <f>Data_inputs!C1092*K_factor</f>
        <v>1819.6116889023185</v>
      </c>
      <c r="E1092">
        <f t="shared" ref="E1092:E1155" si="34">C1092-D1092</f>
        <v>1670.6186396285264</v>
      </c>
      <c r="F1092">
        <f>Data_inputs!G1092-Data_inputs!H1092</f>
        <v>577.50198445883234</v>
      </c>
      <c r="G1092">
        <f t="shared" ref="G1092:G1155" si="35">F1092*K_factor</f>
        <v>1229.6729629538324</v>
      </c>
    </row>
    <row r="1093" spans="1:7" x14ac:dyDescent="0.3">
      <c r="A1093">
        <f>Data_inputs!A1093</f>
        <v>1090</v>
      </c>
      <c r="B1093">
        <f>Data_inputs!B1093-Data_inputs!C1093</f>
        <v>195.93961675540538</v>
      </c>
      <c r="C1093">
        <f>Data_inputs!B1093*K_factor</f>
        <v>2025.8915798394032</v>
      </c>
      <c r="D1093">
        <f>Data_inputs!C1093*K_factor</f>
        <v>1608.678036718092</v>
      </c>
      <c r="E1093">
        <f t="shared" si="34"/>
        <v>417.2135431213112</v>
      </c>
      <c r="F1093">
        <f>Data_inputs!G1093-Data_inputs!H1093</f>
        <v>286.02264687889783</v>
      </c>
      <c r="G1093">
        <f t="shared" si="35"/>
        <v>609.02702523015182</v>
      </c>
    </row>
    <row r="1094" spans="1:7" x14ac:dyDescent="0.3">
      <c r="A1094">
        <f>Data_inputs!A1094</f>
        <v>1091</v>
      </c>
      <c r="B1094">
        <f>Data_inputs!B1094-Data_inputs!C1094</f>
        <v>451.24270110982411</v>
      </c>
      <c r="C1094">
        <f>Data_inputs!B1094*K_factor</f>
        <v>2629.5889121740015</v>
      </c>
      <c r="D1094">
        <f>Data_inputs!C1094*K_factor</f>
        <v>1668.7594012503675</v>
      </c>
      <c r="E1094">
        <f t="shared" si="34"/>
        <v>960.82951092363396</v>
      </c>
      <c r="F1094">
        <f>Data_inputs!G1094-Data_inputs!H1094</f>
        <v>257.53899634733898</v>
      </c>
      <c r="G1094">
        <f t="shared" si="35"/>
        <v>548.37688741684997</v>
      </c>
    </row>
    <row r="1095" spans="1:7" x14ac:dyDescent="0.3">
      <c r="A1095">
        <f>Data_inputs!A1095</f>
        <v>1092</v>
      </c>
      <c r="B1095">
        <f>Data_inputs!B1095-Data_inputs!C1095</f>
        <v>-199.33207329241986</v>
      </c>
      <c r="C1095">
        <f>Data_inputs!B1095*K_factor</f>
        <v>2730.7375112037557</v>
      </c>
      <c r="D1095">
        <f>Data_inputs!C1095*K_factor</f>
        <v>3155.1746002068558</v>
      </c>
      <c r="E1095">
        <f t="shared" si="34"/>
        <v>-424.43708900310003</v>
      </c>
      <c r="F1095">
        <f>Data_inputs!G1095-Data_inputs!H1095</f>
        <v>25.610366508071138</v>
      </c>
      <c r="G1095">
        <f t="shared" si="35"/>
        <v>54.532064155284978</v>
      </c>
    </row>
    <row r="1096" spans="1:7" x14ac:dyDescent="0.3">
      <c r="A1096">
        <f>Data_inputs!A1096</f>
        <v>1093</v>
      </c>
      <c r="B1096">
        <f>Data_inputs!B1096-Data_inputs!C1096</f>
        <v>579.9294275793012</v>
      </c>
      <c r="C1096">
        <f>Data_inputs!B1096*K_factor</f>
        <v>3015.3999591101961</v>
      </c>
      <c r="D1096">
        <f>Data_inputs!C1096*K_factor</f>
        <v>1780.55824997942</v>
      </c>
      <c r="E1096">
        <f t="shared" si="34"/>
        <v>1234.8417091307761</v>
      </c>
      <c r="F1096">
        <f>Data_inputs!G1096-Data_inputs!H1096</f>
        <v>525.98727805756607</v>
      </c>
      <c r="G1096">
        <f t="shared" si="35"/>
        <v>1119.9828781387948</v>
      </c>
    </row>
    <row r="1097" spans="1:7" x14ac:dyDescent="0.3">
      <c r="A1097">
        <f>Data_inputs!A1097</f>
        <v>1094</v>
      </c>
      <c r="B1097">
        <f>Data_inputs!B1097-Data_inputs!C1097</f>
        <v>1383.2761200602333</v>
      </c>
      <c r="C1097">
        <f>Data_inputs!B1097*K_factor</f>
        <v>4867.5604804345357</v>
      </c>
      <c r="D1097">
        <f>Data_inputs!C1097*K_factor</f>
        <v>1922.1554586116129</v>
      </c>
      <c r="E1097">
        <f t="shared" si="34"/>
        <v>2945.4050218229231</v>
      </c>
      <c r="F1097">
        <f>Data_inputs!G1097-Data_inputs!H1097</f>
        <v>72.439118196661866</v>
      </c>
      <c r="G1097">
        <f t="shared" si="35"/>
        <v>154.24436193084972</v>
      </c>
    </row>
    <row r="1098" spans="1:7" x14ac:dyDescent="0.3">
      <c r="A1098">
        <f>Data_inputs!A1098</f>
        <v>1095</v>
      </c>
      <c r="B1098">
        <f>Data_inputs!B1098-Data_inputs!C1098</f>
        <v>267.2061787497239</v>
      </c>
      <c r="C1098">
        <f>Data_inputs!B1098*K_factor</f>
        <v>1695.5748208109169</v>
      </c>
      <c r="D1098">
        <f>Data_inputs!C1098*K_factor</f>
        <v>1126.6136355941289</v>
      </c>
      <c r="E1098">
        <f t="shared" si="34"/>
        <v>568.96118521678795</v>
      </c>
      <c r="F1098">
        <f>Data_inputs!G1098-Data_inputs!H1098</f>
        <v>102.438882256841</v>
      </c>
      <c r="G1098">
        <f t="shared" si="35"/>
        <v>218.12275499709222</v>
      </c>
    </row>
    <row r="1099" spans="1:7" x14ac:dyDescent="0.3">
      <c r="A1099">
        <f>Data_inputs!A1099</f>
        <v>1096</v>
      </c>
      <c r="B1099">
        <f>Data_inputs!B1099-Data_inputs!C1099</f>
        <v>300.71558142224967</v>
      </c>
      <c r="C1099">
        <f>Data_inputs!B1099*K_factor</f>
        <v>2147.0380114712225</v>
      </c>
      <c r="D1099">
        <f>Data_inputs!C1099*K_factor</f>
        <v>1506.7253719217695</v>
      </c>
      <c r="E1099">
        <f t="shared" si="34"/>
        <v>640.31263954945302</v>
      </c>
      <c r="F1099">
        <f>Data_inputs!G1099-Data_inputs!H1099</f>
        <v>220.01096920085797</v>
      </c>
      <c r="G1099">
        <f t="shared" si="35"/>
        <v>468.46858999641961</v>
      </c>
    </row>
    <row r="1100" spans="1:7" x14ac:dyDescent="0.3">
      <c r="A1100">
        <f>Data_inputs!A1100</f>
        <v>1097</v>
      </c>
      <c r="B1100">
        <f>Data_inputs!B1100-Data_inputs!C1100</f>
        <v>-4.658182846013915</v>
      </c>
      <c r="C1100">
        <f>Data_inputs!B1100*K_factor</f>
        <v>2164.6460825407357</v>
      </c>
      <c r="D1100">
        <f>Data_inputs!C1100*K_factor</f>
        <v>2174.5647350413092</v>
      </c>
      <c r="E1100">
        <f t="shared" si="34"/>
        <v>-9.9186525005734438</v>
      </c>
      <c r="F1100">
        <f>Data_inputs!G1100-Data_inputs!H1100</f>
        <v>486.4087411268747</v>
      </c>
      <c r="G1100">
        <f t="shared" si="35"/>
        <v>1035.7084373807297</v>
      </c>
    </row>
    <row r="1101" spans="1:7" x14ac:dyDescent="0.3">
      <c r="A1101">
        <f>Data_inputs!A1101</f>
        <v>1098</v>
      </c>
      <c r="B1101">
        <f>Data_inputs!B1101-Data_inputs!C1101</f>
        <v>228.395768360408</v>
      </c>
      <c r="C1101">
        <f>Data_inputs!B1101*K_factor</f>
        <v>1504.239123729167</v>
      </c>
      <c r="D1101">
        <f>Data_inputs!C1101*K_factor</f>
        <v>1017.9168101027609</v>
      </c>
      <c r="E1101">
        <f t="shared" si="34"/>
        <v>486.32231362640607</v>
      </c>
      <c r="F1101">
        <f>Data_inputs!G1101-Data_inputs!H1101</f>
        <v>212.97196268683592</v>
      </c>
      <c r="G1101">
        <f t="shared" si="35"/>
        <v>453.48045795656191</v>
      </c>
    </row>
    <row r="1102" spans="1:7" x14ac:dyDescent="0.3">
      <c r="A1102">
        <f>Data_inputs!A1102</f>
        <v>1099</v>
      </c>
      <c r="B1102">
        <f>Data_inputs!B1102-Data_inputs!C1102</f>
        <v>191.9448767552359</v>
      </c>
      <c r="C1102">
        <f>Data_inputs!B1102*K_factor</f>
        <v>2561.6580199052196</v>
      </c>
      <c r="D1102">
        <f>Data_inputs!C1102*K_factor</f>
        <v>2152.9504627448773</v>
      </c>
      <c r="E1102">
        <f t="shared" si="34"/>
        <v>408.70755716034228</v>
      </c>
      <c r="F1102">
        <f>Data_inputs!G1102-Data_inputs!H1102</f>
        <v>26.870235797573969</v>
      </c>
      <c r="G1102">
        <f t="shared" si="35"/>
        <v>57.214699442866269</v>
      </c>
    </row>
    <row r="1103" spans="1:7" x14ac:dyDescent="0.3">
      <c r="A1103">
        <f>Data_inputs!A1103</f>
        <v>1100</v>
      </c>
      <c r="B1103">
        <f>Data_inputs!B1103-Data_inputs!C1103</f>
        <v>321.13120024785934</v>
      </c>
      <c r="C1103">
        <f>Data_inputs!B1103*K_factor</f>
        <v>1752.2372897110795</v>
      </c>
      <c r="D1103">
        <f>Data_inputs!C1103*K_factor</f>
        <v>1068.4537441432713</v>
      </c>
      <c r="E1103">
        <f t="shared" si="34"/>
        <v>683.78354556780823</v>
      </c>
      <c r="F1103">
        <f>Data_inputs!G1103-Data_inputs!H1103</f>
        <v>214.33213069114413</v>
      </c>
      <c r="G1103">
        <f t="shared" si="35"/>
        <v>456.37665894804422</v>
      </c>
    </row>
    <row r="1104" spans="1:7" x14ac:dyDescent="0.3">
      <c r="A1104">
        <f>Data_inputs!A1104</f>
        <v>1101</v>
      </c>
      <c r="B1104">
        <f>Data_inputs!B1104-Data_inputs!C1104</f>
        <v>487.40355813127132</v>
      </c>
      <c r="C1104">
        <f>Data_inputs!B1104*K_factor</f>
        <v>2637.1697755227437</v>
      </c>
      <c r="D1104">
        <f>Data_inputs!C1104*K_factor</f>
        <v>1599.3430777614205</v>
      </c>
      <c r="E1104">
        <f t="shared" si="34"/>
        <v>1037.8266977613232</v>
      </c>
      <c r="F1104">
        <f>Data_inputs!G1104-Data_inputs!H1104</f>
        <v>272.26784915749204</v>
      </c>
      <c r="G1104">
        <f t="shared" si="35"/>
        <v>579.73898237647848</v>
      </c>
    </row>
    <row r="1105" spans="1:7" x14ac:dyDescent="0.3">
      <c r="A1105">
        <f>Data_inputs!A1105</f>
        <v>1102</v>
      </c>
      <c r="B1105">
        <f>Data_inputs!B1105-Data_inputs!C1105</f>
        <v>799.92713341349634</v>
      </c>
      <c r="C1105">
        <f>Data_inputs!B1105*K_factor</f>
        <v>3443.2098828303851</v>
      </c>
      <c r="D1105">
        <f>Data_inputs!C1105*K_factor</f>
        <v>1739.9278253436028</v>
      </c>
      <c r="E1105">
        <f t="shared" si="34"/>
        <v>1703.2820574867824</v>
      </c>
      <c r="F1105">
        <f>Data_inputs!G1105-Data_inputs!H1105</f>
        <v>22.981256268341895</v>
      </c>
      <c r="G1105">
        <f t="shared" si="35"/>
        <v>48.933908884096326</v>
      </c>
    </row>
    <row r="1106" spans="1:7" x14ac:dyDescent="0.3">
      <c r="A1106">
        <f>Data_inputs!A1106</f>
        <v>1103</v>
      </c>
      <c r="B1106">
        <f>Data_inputs!B1106-Data_inputs!C1106</f>
        <v>470.60152757154333</v>
      </c>
      <c r="C1106">
        <f>Data_inputs!B1106*K_factor</f>
        <v>2340.4621700829953</v>
      </c>
      <c r="D1106">
        <f>Data_inputs!C1106*K_factor</f>
        <v>1338.4119774385897</v>
      </c>
      <c r="E1106">
        <f t="shared" si="34"/>
        <v>1002.0501926444056</v>
      </c>
      <c r="F1106">
        <f>Data_inputs!G1106-Data_inputs!H1106</f>
        <v>453.89627754381786</v>
      </c>
      <c r="G1106">
        <f t="shared" si="35"/>
        <v>966.47976197700723</v>
      </c>
    </row>
    <row r="1107" spans="1:7" x14ac:dyDescent="0.3">
      <c r="A1107">
        <f>Data_inputs!A1107</f>
        <v>1104</v>
      </c>
      <c r="B1107">
        <f>Data_inputs!B1107-Data_inputs!C1107</f>
        <v>1428.9043226237859</v>
      </c>
      <c r="C1107">
        <f>Data_inputs!B1107*K_factor</f>
        <v>4639.006195517014</v>
      </c>
      <c r="D1107">
        <f>Data_inputs!C1107*K_factor</f>
        <v>1596.44520098664</v>
      </c>
      <c r="E1107">
        <f t="shared" si="34"/>
        <v>3042.560994530374</v>
      </c>
      <c r="F1107">
        <f>Data_inputs!G1107-Data_inputs!H1107</f>
        <v>295.490687056561</v>
      </c>
      <c r="G1107">
        <f t="shared" si="35"/>
        <v>629.18729018498675</v>
      </c>
    </row>
    <row r="1108" spans="1:7" x14ac:dyDescent="0.3">
      <c r="A1108">
        <f>Data_inputs!A1108</f>
        <v>1105</v>
      </c>
      <c r="B1108">
        <f>Data_inputs!B1108-Data_inputs!C1108</f>
        <v>384.11417850536407</v>
      </c>
      <c r="C1108">
        <f>Data_inputs!B1108*K_factor</f>
        <v>1974.9602255974989</v>
      </c>
      <c r="D1108">
        <f>Data_inputs!C1108*K_factor</f>
        <v>1157.0672439172965</v>
      </c>
      <c r="E1108">
        <f t="shared" si="34"/>
        <v>817.89298168020241</v>
      </c>
      <c r="F1108">
        <f>Data_inputs!G1108-Data_inputs!H1108</f>
        <v>410.86474191686193</v>
      </c>
      <c r="G1108">
        <f t="shared" si="35"/>
        <v>874.85286312844687</v>
      </c>
    </row>
    <row r="1109" spans="1:7" x14ac:dyDescent="0.3">
      <c r="A1109">
        <f>Data_inputs!A1109</f>
        <v>1106</v>
      </c>
      <c r="B1109">
        <f>Data_inputs!B1109-Data_inputs!C1109</f>
        <v>300.83159237049483</v>
      </c>
      <c r="C1109">
        <f>Data_inputs!B1109*K_factor</f>
        <v>1739.4021242154543</v>
      </c>
      <c r="D1109">
        <f>Data_inputs!C1109*K_factor</f>
        <v>1098.8424629581928</v>
      </c>
      <c r="E1109">
        <f t="shared" si="34"/>
        <v>640.5596612572615</v>
      </c>
      <c r="F1109">
        <f>Data_inputs!G1109-Data_inputs!H1109</f>
        <v>174.817472538213</v>
      </c>
      <c r="G1109">
        <f t="shared" si="35"/>
        <v>372.23823504885081</v>
      </c>
    </row>
    <row r="1110" spans="1:7" x14ac:dyDescent="0.3">
      <c r="A1110">
        <f>Data_inputs!A1110</f>
        <v>1107</v>
      </c>
      <c r="B1110">
        <f>Data_inputs!B1110-Data_inputs!C1110</f>
        <v>881.96381343748351</v>
      </c>
      <c r="C1110">
        <f>Data_inputs!B1110*K_factor</f>
        <v>3800.9293199057897</v>
      </c>
      <c r="D1110">
        <f>Data_inputs!C1110*K_factor</f>
        <v>1922.9668455360711</v>
      </c>
      <c r="E1110">
        <f t="shared" si="34"/>
        <v>1877.9624743697186</v>
      </c>
      <c r="F1110">
        <f>Data_inputs!G1110-Data_inputs!H1110</f>
        <v>366.24487210047891</v>
      </c>
      <c r="G1110">
        <f t="shared" si="35"/>
        <v>779.84392982557392</v>
      </c>
    </row>
    <row r="1111" spans="1:7" x14ac:dyDescent="0.3">
      <c r="A1111">
        <f>Data_inputs!A1111</f>
        <v>1108</v>
      </c>
      <c r="B1111">
        <f>Data_inputs!B1111-Data_inputs!C1111</f>
        <v>420.86980944177515</v>
      </c>
      <c r="C1111">
        <f>Data_inputs!B1111*K_factor</f>
        <v>1881.3589786396412</v>
      </c>
      <c r="D1111">
        <f>Data_inputs!C1111*K_factor</f>
        <v>985.20236009736288</v>
      </c>
      <c r="E1111">
        <f t="shared" si="34"/>
        <v>896.15661854227835</v>
      </c>
      <c r="F1111">
        <f>Data_inputs!G1111-Data_inputs!H1111</f>
        <v>322.11528889695683</v>
      </c>
      <c r="G1111">
        <f t="shared" si="35"/>
        <v>685.87896209885093</v>
      </c>
    </row>
    <row r="1112" spans="1:7" x14ac:dyDescent="0.3">
      <c r="A1112">
        <f>Data_inputs!A1112</f>
        <v>1109</v>
      </c>
      <c r="B1112">
        <f>Data_inputs!B1112-Data_inputs!C1112</f>
        <v>1113.3886179798612</v>
      </c>
      <c r="C1112">
        <f>Data_inputs!B1112*K_factor</f>
        <v>4434.7782186433751</v>
      </c>
      <c r="D1112">
        <f>Data_inputs!C1112*K_factor</f>
        <v>2064.0437144609637</v>
      </c>
      <c r="E1112">
        <f t="shared" si="34"/>
        <v>2370.7345041824115</v>
      </c>
      <c r="F1112">
        <f>Data_inputs!G1112-Data_inputs!H1112</f>
        <v>82.197587893939044</v>
      </c>
      <c r="G1112">
        <f t="shared" si="35"/>
        <v>175.02303744967199</v>
      </c>
    </row>
    <row r="1113" spans="1:7" x14ac:dyDescent="0.3">
      <c r="A1113">
        <f>Data_inputs!A1113</f>
        <v>1110</v>
      </c>
      <c r="B1113">
        <f>Data_inputs!B1113-Data_inputs!C1113</f>
        <v>289.64830550804123</v>
      </c>
      <c r="C1113">
        <f>Data_inputs!B1113*K_factor</f>
        <v>1560.5820128971416</v>
      </c>
      <c r="D1113">
        <f>Data_inputs!C1113*K_factor</f>
        <v>943.83488538312349</v>
      </c>
      <c r="E1113">
        <f t="shared" si="34"/>
        <v>616.74712751401808</v>
      </c>
      <c r="F1113">
        <f>Data_inputs!G1113-Data_inputs!H1113</f>
        <v>155.44299154595592</v>
      </c>
      <c r="G1113">
        <f t="shared" si="35"/>
        <v>330.9842201907602</v>
      </c>
    </row>
    <row r="1114" spans="1:7" x14ac:dyDescent="0.3">
      <c r="A1114">
        <f>Data_inputs!A1114</f>
        <v>1111</v>
      </c>
      <c r="B1114">
        <f>Data_inputs!B1114-Data_inputs!C1114</f>
        <v>275.34163474476026</v>
      </c>
      <c r="C1114">
        <f>Data_inputs!B1114*K_factor</f>
        <v>1529.8034088776405</v>
      </c>
      <c r="D1114">
        <f>Data_inputs!C1114*K_factor</f>
        <v>943.51942556212146</v>
      </c>
      <c r="E1114">
        <f t="shared" si="34"/>
        <v>586.28398331551909</v>
      </c>
      <c r="F1114">
        <f>Data_inputs!G1114-Data_inputs!H1114</f>
        <v>56.071412346627994</v>
      </c>
      <c r="G1114">
        <f t="shared" si="35"/>
        <v>119.39266290469219</v>
      </c>
    </row>
    <row r="1115" spans="1:7" x14ac:dyDescent="0.3">
      <c r="A1115">
        <f>Data_inputs!A1115</f>
        <v>1112</v>
      </c>
      <c r="B1115">
        <f>Data_inputs!B1115-Data_inputs!C1115</f>
        <v>567.8585047689395</v>
      </c>
      <c r="C1115">
        <f>Data_inputs!B1115*K_factor</f>
        <v>2711.8019255013232</v>
      </c>
      <c r="D1115">
        <f>Data_inputs!C1115*K_factor</f>
        <v>1502.6627902443215</v>
      </c>
      <c r="E1115">
        <f t="shared" si="34"/>
        <v>1209.1391352570017</v>
      </c>
      <c r="F1115">
        <f>Data_inputs!G1115-Data_inputs!H1115</f>
        <v>335.89561263733685</v>
      </c>
      <c r="G1115">
        <f t="shared" si="35"/>
        <v>715.22135741576972</v>
      </c>
    </row>
    <row r="1116" spans="1:7" x14ac:dyDescent="0.3">
      <c r="A1116">
        <f>Data_inputs!A1116</f>
        <v>1113</v>
      </c>
      <c r="B1116">
        <f>Data_inputs!B1116-Data_inputs!C1116</f>
        <v>544.44382822828948</v>
      </c>
      <c r="C1116">
        <f>Data_inputs!B1116*K_factor</f>
        <v>2591.7437848332083</v>
      </c>
      <c r="D1116">
        <f>Data_inputs!C1116*K_factor</f>
        <v>1432.4614387356892</v>
      </c>
      <c r="E1116">
        <f t="shared" si="34"/>
        <v>1159.2823460975192</v>
      </c>
      <c r="F1116">
        <f>Data_inputs!G1116-Data_inputs!H1116</f>
        <v>309.30880133169399</v>
      </c>
      <c r="G1116">
        <f t="shared" si="35"/>
        <v>658.6101527558576</v>
      </c>
    </row>
    <row r="1117" spans="1:7" x14ac:dyDescent="0.3">
      <c r="A1117">
        <f>Data_inputs!A1117</f>
        <v>1114</v>
      </c>
      <c r="B1117">
        <f>Data_inputs!B1117-Data_inputs!C1117</f>
        <v>386.71721101238722</v>
      </c>
      <c r="C1117">
        <f>Data_inputs!B1117*K_factor</f>
        <v>4947.955126446388</v>
      </c>
      <c r="D1117">
        <f>Data_inputs!C1117*K_factor</f>
        <v>4124.5195167203683</v>
      </c>
      <c r="E1117">
        <f t="shared" si="34"/>
        <v>823.43560972601972</v>
      </c>
      <c r="F1117">
        <f>Data_inputs!G1117-Data_inputs!H1117</f>
        <v>919.35680476934249</v>
      </c>
      <c r="G1117">
        <f t="shared" si="35"/>
        <v>1957.5832405006647</v>
      </c>
    </row>
    <row r="1118" spans="1:7" x14ac:dyDescent="0.3">
      <c r="A1118">
        <f>Data_inputs!A1118</f>
        <v>1115</v>
      </c>
      <c r="B1118">
        <f>Data_inputs!B1118-Data_inputs!C1118</f>
        <v>385.36502853800857</v>
      </c>
      <c r="C1118">
        <f>Data_inputs!B1118*K_factor</f>
        <v>2394.4871508596875</v>
      </c>
      <c r="D1118">
        <f>Data_inputs!C1118*K_factor</f>
        <v>1573.9307385641005</v>
      </c>
      <c r="E1118">
        <f t="shared" si="34"/>
        <v>820.55641229558705</v>
      </c>
      <c r="F1118">
        <f>Data_inputs!G1118-Data_inputs!H1118</f>
        <v>259.27710593931988</v>
      </c>
      <c r="G1118">
        <f t="shared" si="35"/>
        <v>552.07783811386355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workbookViewId="0"/>
  </sheetViews>
  <sheetFormatPr defaultRowHeight="14.4" x14ac:dyDescent="0.3"/>
  <cols>
    <col min="1" max="1" width="26" customWidth="1"/>
    <col min="2" max="3" width="10" customWidth="1"/>
    <col min="4" max="5" width="16" customWidth="1"/>
    <col min="6" max="6" width="12" customWidth="1"/>
    <col min="7" max="7" width="8" customWidth="1"/>
  </cols>
  <sheetData>
    <row r="1" spans="1:7" ht="15.6" x14ac:dyDescent="0.3">
      <c r="A1" s="4" t="s">
        <v>82</v>
      </c>
    </row>
    <row r="3" spans="1:7" x14ac:dyDescent="0.3">
      <c r="A3" s="5" t="s">
        <v>10</v>
      </c>
      <c r="B3" s="5" t="s">
        <v>13</v>
      </c>
      <c r="C3" s="5" t="s">
        <v>14</v>
      </c>
      <c r="D3" s="5" t="s">
        <v>83</v>
      </c>
      <c r="E3" s="5" t="s">
        <v>84</v>
      </c>
      <c r="F3" s="5" t="s">
        <v>85</v>
      </c>
      <c r="G3" s="5" t="s">
        <v>86</v>
      </c>
    </row>
    <row r="4" spans="1:7" x14ac:dyDescent="0.3">
      <c r="A4" t="s">
        <v>87</v>
      </c>
      <c r="B4" s="9">
        <v>2</v>
      </c>
      <c r="C4" s="9">
        <v>10</v>
      </c>
      <c r="D4">
        <f>Finding!$K$12*SQRT(ReviewPeriod_R+B4)*(ServiceZ*UnitPrice_p*(1-Margin_m)*HoldRate_h+(365/ReviewPeriod_R)*(NORMDIST(ServiceZ,0,1,FALSE)-ServiceZ*(1-NORMSDIST(ServiceZ)))*Margin_m*UnitPrice_p)</f>
        <v>846.20851457415745</v>
      </c>
      <c r="E4">
        <f>Finding!$K$12*SQRT(ReviewPeriod_R+C4)*(ServiceZ*UnitPrice_p*(1-Margin_m)*HoldRate_h+(365/ReviewPeriod_R)*(NORMDIST(ServiceZ,0,1,FALSE)-ServiceZ*(1-NORMSDIST(ServiceZ)))*Margin_m*UnitPrice_p)</f>
        <v>1163.0023622954243</v>
      </c>
      <c r="F4">
        <f>ABS(E4-D4)</f>
        <v>316.79384772126684</v>
      </c>
      <c r="G4">
        <f>RANK(F4,$F$4:$F$8)</f>
        <v>4</v>
      </c>
    </row>
    <row r="5" spans="1:7" x14ac:dyDescent="0.3">
      <c r="A5" t="s">
        <v>88</v>
      </c>
      <c r="B5" s="9">
        <v>1</v>
      </c>
      <c r="C5" s="9">
        <v>14</v>
      </c>
      <c r="D5">
        <f>Finding!$K$12*SQRT(B5+LeadTime_L)*(ServiceZ*UnitPrice_p*(1-Margin_m)*HoldRate_h+(365/B5)*(NORMDIST(ServiceZ,0,1,FALSE)-ServiceZ*(1-NORMSDIST(ServiceZ)))*Margin_m*UnitPrice_p)</f>
        <v>2895.1391751061983</v>
      </c>
      <c r="E5">
        <f>Finding!$K$12*SQRT(C5+LeadTime_L)*(ServiceZ*UnitPrice_p*(1-Margin_m)*HoldRate_h+(365/C5)*(NORMDIST(ServiceZ,0,1,FALSE)-ServiceZ*(1-NORMSDIST(ServiceZ)))*Margin_m*UnitPrice_p)</f>
        <v>902.64367891489712</v>
      </c>
      <c r="F5">
        <f>ABS(E5-D5)</f>
        <v>1992.4954961913013</v>
      </c>
      <c r="G5">
        <f>RANK(F5,$F$4:$F$8)</f>
        <v>1</v>
      </c>
    </row>
    <row r="6" spans="1:7" x14ac:dyDescent="0.3">
      <c r="A6" t="s">
        <v>89</v>
      </c>
      <c r="B6" s="9">
        <v>0.15</v>
      </c>
      <c r="C6" s="9">
        <v>0.35</v>
      </c>
      <c r="D6">
        <f>Finding!$K$12*SQRT(ReviewPeriod_R+LeadTime_L)*(ServiceZ*UnitPrice_p*(1-Margin_m)*B6+(365/ReviewPeriod_R)*(NORMDIST(ServiceZ,0,1,FALSE)-ServiceZ*(1-NORMSDIST(ServiceZ)))*Margin_m*UnitPrice_p)</f>
        <v>794.08563368479531</v>
      </c>
      <c r="E6">
        <f>Finding!$K$12*SQRT(ReviewPeriod_R+LeadTime_L)*(ServiceZ*UnitPrice_p*(1-Margin_m)*C6+(365/ReviewPeriod_R)*(NORMDIST(ServiceZ,0,1,FALSE)-ServiceZ*(1-NORMSDIST(ServiceZ)))*Margin_m*UnitPrice_p)</f>
        <v>1160.149221034977</v>
      </c>
      <c r="F6">
        <f>ABS(E6-D6)</f>
        <v>366.06358735018171</v>
      </c>
      <c r="G6">
        <f>RANK(F6,$F$4:$F$8)</f>
        <v>3</v>
      </c>
    </row>
    <row r="7" spans="1:7" x14ac:dyDescent="0.3">
      <c r="A7" t="s">
        <v>90</v>
      </c>
      <c r="B7" s="9">
        <v>0.15</v>
      </c>
      <c r="C7" s="9">
        <v>0.5</v>
      </c>
      <c r="D7">
        <f>Finding!$K$12*SQRT(ReviewPeriod_R+LeadTime_L)*(ServiceZ*UnitPrice_p*(1-B7)*HoldRate_h+(365/ReviewPeriod_R)*(NORMDIST(ServiceZ,0,1,FALSE)-ServiceZ*(1-NORMSDIST(ServiceZ)))*B7*UnitPrice_p)</f>
        <v>815.4012023854624</v>
      </c>
      <c r="E7">
        <f>Finding!$K$12*SQRT(ReviewPeriod_R+LeadTime_L)*(ServiceZ*UnitPrice_p*(1-C7)*HoldRate_h+(365/ReviewPeriod_R)*(NORMDIST(ServiceZ,0,1,FALSE)-ServiceZ*(1-NORMSDIST(ServiceZ)))*C7*UnitPrice_p)</f>
        <v>1192.7390606591177</v>
      </c>
      <c r="F7">
        <f>ABS(E7-D7)</f>
        <v>377.33785827365534</v>
      </c>
      <c r="G7">
        <f>RANK(F7,$F$4:$F$8)</f>
        <v>2</v>
      </c>
    </row>
    <row r="8" spans="1:7" x14ac:dyDescent="0.3">
      <c r="A8" t="s">
        <v>91</v>
      </c>
      <c r="B8" s="9">
        <v>10</v>
      </c>
      <c r="C8" s="9">
        <v>150</v>
      </c>
      <c r="D8">
        <f>Finding!$K$12*SQRT(ReviewPeriod_R+LeadTime_L)*(ServiceZ*UnitPrice_p*(1-Margin_m)*HoldRate_h+(365/ReviewPeriod_R)*(NORMDIST(ServiceZ,0,1,FALSE)-ServiceZ*(1-NORMSDIST(ServiceZ)))*Margin_m*UnitPrice_p)</f>
        <v>977.11742735988616</v>
      </c>
      <c r="E8">
        <f>Finding!$K$12*SQRT(ReviewPeriod_R+LeadTime_L)*(ServiceZ*UnitPrice_p*(1-Margin_m)*HoldRate_h+(365/ReviewPeriod_R)*(NORMDIST(ServiceZ,0,1,FALSE)-ServiceZ*(1-NORMSDIST(ServiceZ)))*Margin_m*UnitPrice_p)</f>
        <v>977.11742735988616</v>
      </c>
      <c r="F8">
        <f>ABS(E8-D8)</f>
        <v>0</v>
      </c>
      <c r="G8">
        <f>RANK(F8,$F$4:$F$8)</f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"/>
  <sheetViews>
    <sheetView workbookViewId="0"/>
  </sheetViews>
  <sheetFormatPr defaultRowHeight="14.4" x14ac:dyDescent="0.3"/>
  <cols>
    <col min="1" max="1" width="10" customWidth="1"/>
    <col min="2" max="7" width="12" customWidth="1"/>
  </cols>
  <sheetData>
    <row r="1" spans="1:6" ht="15.6" x14ac:dyDescent="0.3">
      <c r="A1" s="4" t="s">
        <v>92</v>
      </c>
    </row>
    <row r="3" spans="1:6" x14ac:dyDescent="0.3">
      <c r="A3" t="s">
        <v>93</v>
      </c>
      <c r="B3" s="6">
        <v>0.15</v>
      </c>
      <c r="C3" s="6">
        <v>0.22500000000000001</v>
      </c>
      <c r="D3" s="6">
        <v>0.3</v>
      </c>
      <c r="E3" s="6">
        <v>0.4</v>
      </c>
      <c r="F3" s="6">
        <v>0.5</v>
      </c>
    </row>
    <row r="4" spans="1:6" x14ac:dyDescent="0.3">
      <c r="A4" s="6">
        <v>2</v>
      </c>
      <c r="B4">
        <f>Finding!$K$12*SQRT(ReviewPeriod_R+$A4)*(ServiceZ*UnitPrice_p*(1-B$3)*HoldRate_h+(365/ReviewPeriod_R)*(NORMDIST(ServiceZ,0,1,FALSE)-ServiceZ*(1-NORMSDIST(ServiceZ)))*B$3*UnitPrice_p)</f>
        <v>706.15815554218705</v>
      </c>
      <c r="C4">
        <f>Finding!$K$12*SQRT(ReviewPeriod_R+$A4)*(ServiceZ*UnitPrice_p*(1-C$3)*HoldRate_h+(365/ReviewPeriod_R)*(NORMDIST(ServiceZ,0,1,FALSE)-ServiceZ*(1-NORMSDIST(ServiceZ)))*C$3*UnitPrice_p)</f>
        <v>776.18333505817236</v>
      </c>
      <c r="D4">
        <f>Finding!$K$12*SQRT(ReviewPeriod_R+$A4)*(ServiceZ*UnitPrice_p*(1-D$3)*HoldRate_h+(365/ReviewPeriod_R)*(NORMDIST(ServiceZ,0,1,FALSE)-ServiceZ*(1-NORMSDIST(ServiceZ)))*D$3*UnitPrice_p)</f>
        <v>846.20851457415745</v>
      </c>
      <c r="E4">
        <f>Finding!$K$12*SQRT(ReviewPeriod_R+$A4)*(ServiceZ*UnitPrice_p*(1-E$3)*HoldRate_h+(365/ReviewPeriod_R)*(NORMDIST(ServiceZ,0,1,FALSE)-ServiceZ*(1-NORMSDIST(ServiceZ)))*E$3*UnitPrice_p)</f>
        <v>939.57542059547109</v>
      </c>
      <c r="F4">
        <f>Finding!$K$12*SQRT(ReviewPeriod_R+$A4)*(ServiceZ*UnitPrice_p*(1-F$3)*HoldRate_h+(365/ReviewPeriod_R)*(NORMDIST(ServiceZ,0,1,FALSE)-ServiceZ*(1-NORMSDIST(ServiceZ)))*F$3*UnitPrice_p)</f>
        <v>1032.9423266167846</v>
      </c>
    </row>
    <row r="5" spans="1:6" x14ac:dyDescent="0.3">
      <c r="A5" s="6">
        <v>3</v>
      </c>
      <c r="B5">
        <f>Finding!$K$12*SQRT(ReviewPeriod_R+$A5)*(ServiceZ*UnitPrice_p*(1-B$3)*HoldRate_h+(365/ReviewPeriod_R)*(NORMDIST(ServiceZ,0,1,FALSE)-ServiceZ*(1-NORMSDIST(ServiceZ)))*B$3*UnitPrice_p)</f>
        <v>744.35605327225528</v>
      </c>
      <c r="C5">
        <f>Finding!$K$12*SQRT(ReviewPeriod_R+$A5)*(ServiceZ*UnitPrice_p*(1-C$3)*HoldRate_h+(365/ReviewPeriod_R)*(NORMDIST(ServiceZ,0,1,FALSE)-ServiceZ*(1-NORMSDIST(ServiceZ)))*C$3*UnitPrice_p)</f>
        <v>818.16907354981549</v>
      </c>
      <c r="D5">
        <f>Finding!$K$12*SQRT(ReviewPeriod_R+$A5)*(ServiceZ*UnitPrice_p*(1-D$3)*HoldRate_h+(365/ReviewPeriod_R)*(NORMDIST(ServiceZ,0,1,FALSE)-ServiceZ*(1-NORMSDIST(ServiceZ)))*D$3*UnitPrice_p)</f>
        <v>891.98209382737559</v>
      </c>
      <c r="E5">
        <f>Finding!$K$12*SQRT(ReviewPeriod_R+$A5)*(ServiceZ*UnitPrice_p*(1-E$3)*HoldRate_h+(365/ReviewPeriod_R)*(NORMDIST(ServiceZ,0,1,FALSE)-ServiceZ*(1-NORMSDIST(ServiceZ)))*E$3*UnitPrice_p)</f>
        <v>990.39945419745584</v>
      </c>
      <c r="F5">
        <f>Finding!$K$12*SQRT(ReviewPeriod_R+$A5)*(ServiceZ*UnitPrice_p*(1-F$3)*HoldRate_h+(365/ReviewPeriod_R)*(NORMDIST(ServiceZ,0,1,FALSE)-ServiceZ*(1-NORMSDIST(ServiceZ)))*F$3*UnitPrice_p)</f>
        <v>1088.8168145675359</v>
      </c>
    </row>
    <row r="6" spans="1:6" x14ac:dyDescent="0.3">
      <c r="A6" s="6">
        <v>5</v>
      </c>
      <c r="B6">
        <f>Finding!$K$12*SQRT(ReviewPeriod_R+$A6)*(ServiceZ*UnitPrice_p*(1-B$3)*HoldRate_h+(365/ReviewPeriod_R)*(NORMDIST(ServiceZ,0,1,FALSE)-ServiceZ*(1-NORMSDIST(ServiceZ)))*B$3*UnitPrice_p)</f>
        <v>815.4012023854624</v>
      </c>
      <c r="C6">
        <f>Finding!$K$12*SQRT(ReviewPeriod_R+$A6)*(ServiceZ*UnitPrice_p*(1-C$3)*HoldRate_h+(365/ReviewPeriod_R)*(NORMDIST(ServiceZ,0,1,FALSE)-ServiceZ*(1-NORMSDIST(ServiceZ)))*C$3*UnitPrice_p)</f>
        <v>896.25931487267439</v>
      </c>
      <c r="D6">
        <f>Finding!$K$12*SQRT(ReviewPeriod_R+$A6)*(ServiceZ*UnitPrice_p*(1-D$3)*HoldRate_h+(365/ReviewPeriod_R)*(NORMDIST(ServiceZ,0,1,FALSE)-ServiceZ*(1-NORMSDIST(ServiceZ)))*D$3*UnitPrice_p)</f>
        <v>977.11742735988616</v>
      </c>
      <c r="E6">
        <f>Finding!$K$12*SQRT(ReviewPeriod_R+$A6)*(ServiceZ*UnitPrice_p*(1-E$3)*HoldRate_h+(365/ReviewPeriod_R)*(NORMDIST(ServiceZ,0,1,FALSE)-ServiceZ*(1-NORMSDIST(ServiceZ)))*E$3*UnitPrice_p)</f>
        <v>1084.9282440095021</v>
      </c>
      <c r="F6">
        <f>Finding!$K$12*SQRT(ReviewPeriod_R+$A6)*(ServiceZ*UnitPrice_p*(1-F$3)*HoldRate_h+(365/ReviewPeriod_R)*(NORMDIST(ServiceZ,0,1,FALSE)-ServiceZ*(1-NORMSDIST(ServiceZ)))*F$3*UnitPrice_p)</f>
        <v>1192.7390606591177</v>
      </c>
    </row>
    <row r="7" spans="1:6" x14ac:dyDescent="0.3">
      <c r="A7" s="6">
        <v>7</v>
      </c>
      <c r="B7">
        <f>Finding!$K$12*SQRT(ReviewPeriod_R+$A7)*(ServiceZ*UnitPrice_p*(1-B$3)*HoldRate_h+(365/ReviewPeriod_R)*(NORMDIST(ServiceZ,0,1,FALSE)-ServiceZ*(1-NORMSDIST(ServiceZ)))*B$3*UnitPrice_p)</f>
        <v>880.73395963836185</v>
      </c>
      <c r="C7">
        <f>Finding!$K$12*SQRT(ReviewPeriod_R+$A7)*(ServiceZ*UnitPrice_p*(1-C$3)*HoldRate_h+(365/ReviewPeriod_R)*(NORMDIST(ServiceZ,0,1,FALSE)-ServiceZ*(1-NORMSDIST(ServiceZ)))*C$3*UnitPrice_p)</f>
        <v>968.0707030370811</v>
      </c>
      <c r="D7">
        <f>Finding!$K$12*SQRT(ReviewPeriod_R+$A7)*(ServiceZ*UnitPrice_p*(1-D$3)*HoldRate_h+(365/ReviewPeriod_R)*(NORMDIST(ServiceZ,0,1,FALSE)-ServiceZ*(1-NORMSDIST(ServiceZ)))*D$3*UnitPrice_p)</f>
        <v>1055.4074464358</v>
      </c>
      <c r="E7">
        <f>Finding!$K$12*SQRT(ReviewPeriod_R+$A7)*(ServiceZ*UnitPrice_p*(1-E$3)*HoldRate_h+(365/ReviewPeriod_R)*(NORMDIST(ServiceZ,0,1,FALSE)-ServiceZ*(1-NORMSDIST(ServiceZ)))*E$3*UnitPrice_p)</f>
        <v>1171.8564376340923</v>
      </c>
      <c r="F7">
        <f>Finding!$K$12*SQRT(ReviewPeriod_R+$A7)*(ServiceZ*UnitPrice_p*(1-F$3)*HoldRate_h+(365/ReviewPeriod_R)*(NORMDIST(ServiceZ,0,1,FALSE)-ServiceZ*(1-NORMSDIST(ServiceZ)))*F$3*UnitPrice_p)</f>
        <v>1288.3054288323845</v>
      </c>
    </row>
    <row r="8" spans="1:6" x14ac:dyDescent="0.3">
      <c r="A8" s="6">
        <v>10</v>
      </c>
      <c r="B8">
        <f>Finding!$K$12*SQRT(ReviewPeriod_R+$A8)*(ServiceZ*UnitPrice_p*(1-B$3)*HoldRate_h+(365/ReviewPeriod_R)*(NORMDIST(ServiceZ,0,1,FALSE)-ServiceZ*(1-NORMSDIST(ServiceZ)))*B$3*UnitPrice_p)</f>
        <v>970.52155456392734</v>
      </c>
      <c r="C8">
        <f>Finding!$K$12*SQRT(ReviewPeriod_R+$A8)*(ServiceZ*UnitPrice_p*(1-C$3)*HoldRate_h+(365/ReviewPeriod_R)*(NORMDIST(ServiceZ,0,1,FALSE)-ServiceZ*(1-NORMSDIST(ServiceZ)))*C$3*UnitPrice_p)</f>
        <v>1066.7619584296758</v>
      </c>
      <c r="D8">
        <f>Finding!$K$12*SQRT(ReviewPeriod_R+$A8)*(ServiceZ*UnitPrice_p*(1-D$3)*HoldRate_h+(365/ReviewPeriod_R)*(NORMDIST(ServiceZ,0,1,FALSE)-ServiceZ*(1-NORMSDIST(ServiceZ)))*D$3*UnitPrice_p)</f>
        <v>1163.0023622954243</v>
      </c>
      <c r="E8">
        <f>Finding!$K$12*SQRT(ReviewPeriod_R+$A8)*(ServiceZ*UnitPrice_p*(1-E$3)*HoldRate_h+(365/ReviewPeriod_R)*(NORMDIST(ServiceZ,0,1,FALSE)-ServiceZ*(1-NORMSDIST(ServiceZ)))*E$3*UnitPrice_p)</f>
        <v>1291.3229007830889</v>
      </c>
      <c r="F8">
        <f>Finding!$K$12*SQRT(ReviewPeriod_R+$A8)*(ServiceZ*UnitPrice_p*(1-F$3)*HoldRate_h+(365/ReviewPeriod_R)*(NORMDIST(ServiceZ,0,1,FALSE)-ServiceZ*(1-NORMSDIST(ServiceZ)))*F$3*UnitPrice_p)</f>
        <v>1419.6434392707533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workbookViewId="0"/>
  </sheetViews>
  <sheetFormatPr defaultRowHeight="14.4" x14ac:dyDescent="0.3"/>
  <cols>
    <col min="1" max="1" width="54" customWidth="1"/>
    <col min="2" max="2" width="18" customWidth="1"/>
    <col min="3" max="3" width="10" customWidth="1"/>
  </cols>
  <sheetData>
    <row r="1" spans="1:3" ht="15.6" x14ac:dyDescent="0.3">
      <c r="A1" s="4" t="s">
        <v>94</v>
      </c>
    </row>
    <row r="3" spans="1:3" x14ac:dyDescent="0.3">
      <c r="A3" s="5" t="s">
        <v>95</v>
      </c>
      <c r="B3" s="5" t="s">
        <v>11</v>
      </c>
      <c r="C3" s="5" t="s">
        <v>96</v>
      </c>
    </row>
    <row r="4" spans="1:3" x14ac:dyDescent="0.3">
      <c r="A4" t="s">
        <v>97</v>
      </c>
      <c r="B4">
        <f>0*K_factor</f>
        <v>0</v>
      </c>
      <c r="C4" t="b">
        <f>ABS(B4)&lt;0.000000000001</f>
        <v>1</v>
      </c>
    </row>
    <row r="5" spans="1:3" x14ac:dyDescent="0.3">
      <c r="A5" t="s">
        <v>98</v>
      </c>
      <c r="B5">
        <f>(100-100)*K_factor</f>
        <v>0</v>
      </c>
      <c r="C5" t="b">
        <f>ABS(B5)&lt;0.000000000001</f>
        <v>1</v>
      </c>
    </row>
    <row r="6" spans="1:3" x14ac:dyDescent="0.3">
      <c r="A6" t="s">
        <v>99</v>
      </c>
      <c r="B6">
        <f>200*K_factor-100*K_factor</f>
        <v>212.92965150693618</v>
      </c>
      <c r="C6" t="b">
        <f>B6&gt;0</f>
        <v>1</v>
      </c>
    </row>
    <row r="7" spans="1:3" x14ac:dyDescent="0.3">
      <c r="A7" t="s">
        <v>100</v>
      </c>
      <c r="B7">
        <f>Finding!K27-Finding!K4</f>
        <v>0</v>
      </c>
      <c r="C7" t="b">
        <f>ABS(B7)&lt;0.000001*MAX(1,ABS(Finding!K4))</f>
        <v>1</v>
      </c>
    </row>
    <row r="8" spans="1:3" x14ac:dyDescent="0.3">
      <c r="A8" t="s">
        <v>101</v>
      </c>
      <c r="B8">
        <f>SUMPRODUCT(--ISERROR(Finding!E4:E1118))</f>
        <v>0</v>
      </c>
      <c r="C8" t="b">
        <f>B8=0</f>
        <v>1</v>
      </c>
    </row>
    <row r="10" spans="1:3" x14ac:dyDescent="0.3">
      <c r="A10" t="s">
        <v>102</v>
      </c>
      <c r="B10" t="str">
        <f>IF(AND(C4:C8),"ALL CHECKS PASS","CHECK FAILED")</f>
        <v>ALL CHECKS PASS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11</vt:i4>
      </vt:variant>
    </vt:vector>
  </HeadingPairs>
  <TitlesOfParts>
    <vt:vector size="18" baseType="lpstr">
      <vt:lpstr>README</vt:lpstr>
      <vt:lpstr>Assumptions</vt:lpstr>
      <vt:lpstr>Data_inputs</vt:lpstr>
      <vt:lpstr>Finding</vt:lpstr>
      <vt:lpstr>Tornado</vt:lpstr>
      <vt:lpstr>TwoWay</vt:lpstr>
      <vt:lpstr>Checks</vt:lpstr>
      <vt:lpstr>HoldRate_h</vt:lpstr>
      <vt:lpstr>K_factor</vt:lpstr>
      <vt:lpstr>LeadTime_L</vt:lpstr>
      <vt:lpstr>LossFn_Lz</vt:lpstr>
      <vt:lpstr>Margin_m</vt:lpstr>
      <vt:lpstr>OrderCost_K</vt:lpstr>
      <vt:lpstr>ReviewPeriod_R</vt:lpstr>
      <vt:lpstr>ServiceLevel</vt:lpstr>
      <vt:lpstr>ServiceZ</vt:lpstr>
      <vt:lpstr>UnitCost_c</vt:lpstr>
      <vt:lpstr>UnitPrice_p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Taim Salimoun</cp:lastModifiedBy>
  <dcterms:created xsi:type="dcterms:W3CDTF">2026-10-24T15:25:36Z</dcterms:created>
  <dcterms:modified xsi:type="dcterms:W3CDTF">2026-10-24T15:25:41Z</dcterms:modified>
</cp:coreProperties>
</file>